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halva\Desktop\CocinaArguiñano\"/>
    </mc:Choice>
  </mc:AlternateContent>
  <xr:revisionPtr revIDLastSave="0" documentId="13_ncr:1_{10CB8E15-1E29-4E54-93EA-D99DE2D41E97}" xr6:coauthVersionLast="47" xr6:coauthVersionMax="47" xr10:uidLastSave="{00000000-0000-0000-0000-000000000000}"/>
  <bookViews>
    <workbookView xWindow="-108" yWindow="-108" windowWidth="23256" windowHeight="13176" firstSheet="7" activeTab="11" xr2:uid="{B19CF87F-E904-44C5-84EA-252C73D4D583}"/>
  </bookViews>
  <sheets>
    <sheet name="Sopas" sheetId="7" r:id="rId1"/>
    <sheet name="Cremas" sheetId="12" r:id="rId2"/>
    <sheet name="Verduras" sheetId="1" r:id="rId3"/>
    <sheet name="Legumbres" sheetId="6" r:id="rId4"/>
    <sheet name="Huevos" sheetId="13" r:id="rId5"/>
    <sheet name="Arroces" sheetId="4" r:id="rId6"/>
    <sheet name="Pastas" sheetId="5" r:id="rId7"/>
    <sheet name="Carnes" sheetId="2" r:id="rId8"/>
    <sheet name="Pescados" sheetId="3" r:id="rId9"/>
    <sheet name="Postres" sheetId="8" r:id="rId10"/>
    <sheet name="Panes" sheetId="9" r:id="rId11"/>
    <sheet name="Otros" sheetId="14" r:id="rId12"/>
  </sheets>
  <definedNames>
    <definedName name="_xlnm._FilterDatabase" localSheetId="11" hidden="1">Otros!$E$8:$E$43</definedName>
    <definedName name="_xlnm.Extract" localSheetId="11">Otros!$P$8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" i="14" l="1" a="1"/>
  <c r="O8" i="14" s="1"/>
  <c r="N8" i="14" a="1"/>
  <c r="N8" i="14" s="1"/>
  <c r="M8" i="14" a="1"/>
  <c r="M8" i="14" s="1"/>
  <c r="L8" i="14" a="1"/>
  <c r="L8" i="14" s="1"/>
  <c r="K8" i="14" a="1"/>
  <c r="K8" i="14" s="1"/>
  <c r="J8" i="14" a="1"/>
  <c r="J8" i="14" s="1"/>
  <c r="I8" i="14" a="1"/>
  <c r="I8" i="14" s="1"/>
  <c r="H8" i="14" a="1"/>
  <c r="H8" i="14" s="1"/>
  <c r="G8" i="14" a="1"/>
  <c r="G8" i="14" s="1"/>
  <c r="F8" i="14" a="1"/>
  <c r="F8" i="14" s="1"/>
  <c r="E8" i="14" a="1"/>
  <c r="E8" i="14" s="1"/>
  <c r="D81" i="3"/>
  <c r="E1" i="9"/>
  <c r="D1" i="9"/>
  <c r="C1" i="9"/>
  <c r="A1" i="9"/>
  <c r="E1" i="8"/>
  <c r="D1" i="8"/>
  <c r="C1" i="8"/>
  <c r="A1" i="8"/>
  <c r="E1" i="3"/>
  <c r="D1" i="3"/>
  <c r="C1" i="3"/>
  <c r="A1" i="3"/>
  <c r="E1" i="2"/>
  <c r="D1" i="2"/>
  <c r="C1" i="2"/>
  <c r="A1" i="2"/>
  <c r="E1" i="5"/>
  <c r="D1" i="5"/>
  <c r="C1" i="5"/>
  <c r="A1" i="5"/>
  <c r="E1" i="4"/>
  <c r="D1" i="4"/>
  <c r="C1" i="4"/>
  <c r="A1" i="4"/>
  <c r="E1" i="13"/>
  <c r="D1" i="13"/>
  <c r="C1" i="13"/>
  <c r="A1" i="13"/>
  <c r="E1" i="6"/>
  <c r="D1" i="6"/>
  <c r="C1" i="6"/>
  <c r="A1" i="6"/>
  <c r="E1" i="1"/>
  <c r="D1" i="1"/>
  <c r="C1" i="1"/>
  <c r="A1" i="1"/>
  <c r="D1" i="12"/>
  <c r="E1" i="12"/>
  <c r="C1" i="12"/>
  <c r="A1" i="1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<sst xmlns="http://schemas.openxmlformats.org/spreadsheetml/2006/main" count="2370" uniqueCount="386">
  <si>
    <t>Plato</t>
  </si>
  <si>
    <t>Ingredientes</t>
  </si>
  <si>
    <t>Focaccia</t>
  </si>
  <si>
    <t>Pan de chocolate</t>
  </si>
  <si>
    <t>Coca de trampó con atún</t>
  </si>
  <si>
    <t>Tartaletas de avena rellenas de pisto y lomo</t>
  </si>
  <si>
    <t>Quiche de panceta y queso</t>
  </si>
  <si>
    <t>Bollos de pan integral</t>
  </si>
  <si>
    <t>Crema de calabacín</t>
  </si>
  <si>
    <t>Sopa fría de zanahoria</t>
  </si>
  <si>
    <t>Salmorejo con guindillas fritas</t>
  </si>
  <si>
    <t>Sopa de cocido con tapioca</t>
  </si>
  <si>
    <t>Sopa de udon con pollo</t>
  </si>
  <si>
    <t>Berenjenas rellenas con bechamel de queso azul</t>
  </si>
  <si>
    <t>Pastel de patatas, jamón cocido y panceta</t>
  </si>
  <si>
    <t>Pastel de calabacín al horno</t>
  </si>
  <si>
    <t>Alubias blancas con butifarra</t>
  </si>
  <si>
    <t>Chícaros con codillo</t>
  </si>
  <si>
    <t>Lentejas con chorizo y panceta</t>
  </si>
  <si>
    <t>Alubias con panceta asada</t>
  </si>
  <si>
    <t>Alubias con chorizo y arroz integral</t>
  </si>
  <si>
    <t>Lentejas con zanahorias y cúrcuma</t>
  </si>
  <si>
    <t>Falafel con salsa de yogur</t>
  </si>
  <si>
    <t>Huevos escoceses</t>
  </si>
  <si>
    <t>Huevos napoleón</t>
  </si>
  <si>
    <t>Rollitos de tortilla, queso y panceta</t>
  </si>
  <si>
    <t>Huevos teresita</t>
  </si>
  <si>
    <t>Arroz al horno</t>
  </si>
  <si>
    <t>Arroz con costilla de cerdo</t>
  </si>
  <si>
    <t>Pasteles de arroz, zanahorias y panceta</t>
  </si>
  <si>
    <t>Croquetas de arroz con pollo y espinacas</t>
  </si>
  <si>
    <t>Arroz con lomo, panceta y jamón cocido</t>
  </si>
  <si>
    <t>Arroz cuatro delicias</t>
  </si>
  <si>
    <t>Arroz con chorizo y jamón</t>
  </si>
  <si>
    <t>Arroz con tortilla y panceta</t>
  </si>
  <si>
    <t>Risotto con panceta y pollo</t>
  </si>
  <si>
    <t xml:space="preserve">Risotto de champiñones con solomillo de cerdo </t>
  </si>
  <si>
    <t>Arroz familiar</t>
  </si>
  <si>
    <t>Cintas con tomate y queso</t>
  </si>
  <si>
    <t>Espirales con sofrito y anchoas</t>
  </si>
  <si>
    <t xml:space="preserve">Lasaña de hortalizas con queso </t>
  </si>
  <si>
    <t>Fettuccini alfredo con salmón</t>
  </si>
  <si>
    <t>Rigatoni con setas y pollo</t>
  </si>
  <si>
    <t>Fideos a la cazuela con costilla</t>
  </si>
  <si>
    <t xml:space="preserve">Tallarines con panceta y queso </t>
  </si>
  <si>
    <t>Tagliatelle a la carbonara</t>
  </si>
  <si>
    <t>Canelones de pescado y hortalizas</t>
  </si>
  <si>
    <t>Canelones a la boloñesa</t>
  </si>
  <si>
    <t>Albóndigas con tomate y puré de patata</t>
  </si>
  <si>
    <t>Albóndigas en salsa de almendras</t>
  </si>
  <si>
    <t>Aleta rellena de pimientos y tortilla</t>
  </si>
  <si>
    <t>Brochetas de pollo con salsa teriyaki</t>
  </si>
  <si>
    <t>Carrilleras de ternera con pastel de patata</t>
  </si>
  <si>
    <t xml:space="preserve">Crepes de pavo, puerro y queso </t>
  </si>
  <si>
    <t>Guiso de pollo y costillas con patatas y tortilla de arroz</t>
  </si>
  <si>
    <t>Guiso de jarretes de cordero con arroz</t>
  </si>
  <si>
    <t>Guiso del maestro</t>
  </si>
  <si>
    <t xml:space="preserve">Moussaka de cordero </t>
  </si>
  <si>
    <t>Pavo en salsa con patatas fritas</t>
  </si>
  <si>
    <t>Sarmale</t>
  </si>
  <si>
    <t>Ternera guisada con setas</t>
  </si>
  <si>
    <t>Lagarto con patatas hasselback</t>
  </si>
  <si>
    <t>Albóndigas de pollo con salsa de mango y curry</t>
  </si>
  <si>
    <t>Bacalao a la riojana con guindillas fritas</t>
  </si>
  <si>
    <t xml:space="preserve">Bacalao gratinado con mayonesa de ajo fresco </t>
  </si>
  <si>
    <t>Brocheta de salmón con salsa de yogur</t>
  </si>
  <si>
    <t>Bacalao fresco con cuscús</t>
  </si>
  <si>
    <t>Hamburguesa de salmón</t>
  </si>
  <si>
    <t>Gulas al ajillo con huevo flor</t>
  </si>
  <si>
    <t>Salmonete en costra de hojaldre con espárragos</t>
  </si>
  <si>
    <t>Merluza a la sidra con patatas</t>
  </si>
  <si>
    <t>Rape al vapor con crema de calabaza</t>
  </si>
  <si>
    <t>Salmón al limón con borraja</t>
  </si>
  <si>
    <t>Salmón cajún al horno</t>
  </si>
  <si>
    <t>Bacalao a la tranca</t>
  </si>
  <si>
    <t>Atún con puré de patata y cebolla</t>
  </si>
  <si>
    <t>Brocheta de bonito con salsa teriyaki y guindillas</t>
  </si>
  <si>
    <t>Calamares a la romana</t>
  </si>
  <si>
    <t>Flan de chocolate con nata</t>
  </si>
  <si>
    <t>Palmeritas de chocolate</t>
  </si>
  <si>
    <t>Mousse de fresa</t>
  </si>
  <si>
    <t>Peras al vino con yogur</t>
  </si>
  <si>
    <t>Tarta de arándanos</t>
  </si>
  <si>
    <t>Tarta de cerezas</t>
  </si>
  <si>
    <t>Tarta de chocolate del diablo</t>
  </si>
  <si>
    <t>Cuajada con salsa de fresa</t>
  </si>
  <si>
    <t>Tarta de manzana clásica</t>
  </si>
  <si>
    <t>Torrija caramelizada con helado</t>
  </si>
  <si>
    <t xml:space="preserve">Pastelitos de queso con mermelada </t>
  </si>
  <si>
    <t xml:space="preserve">Tortilla de chocolate con chantillí </t>
  </si>
  <si>
    <t>Sándwich helado</t>
  </si>
  <si>
    <t>Cantidades</t>
  </si>
  <si>
    <t>Limón</t>
  </si>
  <si>
    <t>Harina</t>
  </si>
  <si>
    <t>uds</t>
  </si>
  <si>
    <t>g</t>
  </si>
  <si>
    <t>Unidades</t>
  </si>
  <si>
    <t>Calabacín</t>
  </si>
  <si>
    <t>Leche</t>
  </si>
  <si>
    <t>mL</t>
  </si>
  <si>
    <t>Jamón</t>
  </si>
  <si>
    <t>Cebolla</t>
  </si>
  <si>
    <t>Abreviatura</t>
  </si>
  <si>
    <t>Gramos</t>
  </si>
  <si>
    <t>Mililitros</t>
  </si>
  <si>
    <t>Medidas</t>
  </si>
  <si>
    <t>Cucharadas</t>
  </si>
  <si>
    <t>cuch</t>
  </si>
  <si>
    <t>Pimiento verde</t>
  </si>
  <si>
    <t>Caldo de verduras</t>
  </si>
  <si>
    <t>Arroz</t>
  </si>
  <si>
    <t>Láminas de pasta brick</t>
  </si>
  <si>
    <t>Leche evaporada</t>
  </si>
  <si>
    <t>Huevas de trucha</t>
  </si>
  <si>
    <t>Perejil</t>
  </si>
  <si>
    <t>Pimienta</t>
  </si>
  <si>
    <t>Sal</t>
  </si>
  <si>
    <t>Manzana</t>
  </si>
  <si>
    <t>Tomate</t>
  </si>
  <si>
    <t>Tomate pera</t>
  </si>
  <si>
    <t>Zanahoria</t>
  </si>
  <si>
    <t>Vinagre</t>
  </si>
  <si>
    <t>Aceite de oliva</t>
  </si>
  <si>
    <t>Comino</t>
  </si>
  <si>
    <t>Guindilla</t>
  </si>
  <si>
    <t>Miga de pan</t>
  </si>
  <si>
    <t>Diente de ajo</t>
  </si>
  <si>
    <t>Garbanzos</t>
  </si>
  <si>
    <t>Muslo de pollo</t>
  </si>
  <si>
    <t>Zancarrón</t>
  </si>
  <si>
    <t>Hueso de cañada</t>
  </si>
  <si>
    <t>Puerro</t>
  </si>
  <si>
    <t>Picatostes</t>
  </si>
  <si>
    <t>Tapioca</t>
  </si>
  <si>
    <t>Fideos udon</t>
  </si>
  <si>
    <t>Pechuga de pollo</t>
  </si>
  <si>
    <t>Salsa de soja</t>
  </si>
  <si>
    <t>Pimiento rojo</t>
  </si>
  <si>
    <t>Rama de apio</t>
  </si>
  <si>
    <t>Pastilla de caldo de pollo</t>
  </si>
  <si>
    <t>Vinagre blanco</t>
  </si>
  <si>
    <t>Cilantro</t>
  </si>
  <si>
    <t>Pimienta negra</t>
  </si>
  <si>
    <t>Nuez moscada</t>
  </si>
  <si>
    <t>Patata</t>
  </si>
  <si>
    <t>Vino blanco</t>
  </si>
  <si>
    <t>Pan rallado</t>
  </si>
  <si>
    <t>Albóndigas de hortalizas</t>
  </si>
  <si>
    <t>Berenjena</t>
  </si>
  <si>
    <t>Pechuga de pavo</t>
  </si>
  <si>
    <t>Queso azul</t>
  </si>
  <si>
    <t>Jamón cocido</t>
  </si>
  <si>
    <t>Panceta</t>
  </si>
  <si>
    <t>Huevo</t>
  </si>
  <si>
    <t>Mantequilla</t>
  </si>
  <si>
    <t>Tomate frito</t>
  </si>
  <si>
    <t>Nata</t>
  </si>
  <si>
    <t>Queso rallado</t>
  </si>
  <si>
    <t>Orégano</t>
  </si>
  <si>
    <t>Alubias blancas</t>
  </si>
  <si>
    <t>Butifarra blanca</t>
  </si>
  <si>
    <t>Laurel</t>
  </si>
  <si>
    <t>Chícharos</t>
  </si>
  <si>
    <t>Codillo de cerdo</t>
  </si>
  <si>
    <t>Chorizo</t>
  </si>
  <si>
    <t>Calabaza</t>
  </si>
  <si>
    <t>Pimentón</t>
  </si>
  <si>
    <t>Lentejas</t>
  </si>
  <si>
    <t>Alubias negras</t>
  </si>
  <si>
    <t>Morcilla de verduras</t>
  </si>
  <si>
    <t>Arroz integral</t>
  </si>
  <si>
    <t>Garbanzos con panceta ibérica</t>
  </si>
  <si>
    <t>Cúrcuma</t>
  </si>
  <si>
    <t>Harina de garbanzo</t>
  </si>
  <si>
    <t>Cebolla dulce</t>
  </si>
  <si>
    <t>Yogur griego natural</t>
  </si>
  <si>
    <t>Ralladura de limón</t>
  </si>
  <si>
    <t>Huevos de codorniz</t>
  </si>
  <si>
    <t>Carne picada</t>
  </si>
  <si>
    <t>Kétchup</t>
  </si>
  <si>
    <t>Jengibre</t>
  </si>
  <si>
    <t>Mezcla rebozar</t>
  </si>
  <si>
    <t>Mostaza</t>
  </si>
  <si>
    <t>Rebanada de pan</t>
  </si>
  <si>
    <t>Queso gratinar</t>
  </si>
  <si>
    <t>Queso</t>
  </si>
  <si>
    <t>Lonchas panceta</t>
  </si>
  <si>
    <t>Guisantes</t>
  </si>
  <si>
    <t>Caldo de ave</t>
  </si>
  <si>
    <t>Fideos</t>
  </si>
  <si>
    <t>Hueso de jamón</t>
  </si>
  <si>
    <t>Cabeza de ajos</t>
  </si>
  <si>
    <t>Azafrán</t>
  </si>
  <si>
    <t>Costilla de cerdo</t>
  </si>
  <si>
    <t>Espinacas</t>
  </si>
  <si>
    <t>Lomo adobado</t>
  </si>
  <si>
    <t>Caldo de carne</t>
  </si>
  <si>
    <t>Ensalada de arroz al curry</t>
  </si>
  <si>
    <t>Arroz basmati</t>
  </si>
  <si>
    <t>Gamba</t>
  </si>
  <si>
    <t>Maíz</t>
  </si>
  <si>
    <t>Aceitunas negras</t>
  </si>
  <si>
    <t>Curry</t>
  </si>
  <si>
    <t>Gamba cocida</t>
  </si>
  <si>
    <t>Pimientos del piquillo</t>
  </si>
  <si>
    <t>Panceta gruesa</t>
  </si>
  <si>
    <t>Lechuga</t>
  </si>
  <si>
    <t>Agua caliente</t>
  </si>
  <si>
    <t>Champiñones</t>
  </si>
  <si>
    <t>Solomillo de cerdo</t>
  </si>
  <si>
    <t>Ajos frescos</t>
  </si>
  <si>
    <t>Brandy</t>
  </si>
  <si>
    <t>Pollo</t>
  </si>
  <si>
    <t>Caldo de pollo</t>
  </si>
  <si>
    <t>Láminas para canelones</t>
  </si>
  <si>
    <t>Apio</t>
  </si>
  <si>
    <t>Tomate triturado</t>
  </si>
  <si>
    <t>Queso en polvo</t>
  </si>
  <si>
    <t>Cintas de pasta</t>
  </si>
  <si>
    <t>Queso parmesano</t>
  </si>
  <si>
    <t>Espárragos verdes</t>
  </si>
  <si>
    <t>Espirales</t>
  </si>
  <si>
    <t>Sofrito de tomate y cebolla</t>
  </si>
  <si>
    <t>Filetes de anchoas</t>
  </si>
  <si>
    <t>Albahaca</t>
  </si>
  <si>
    <t>Página</t>
  </si>
  <si>
    <t>Láminas de lasaña</t>
  </si>
  <si>
    <t>Champiñón</t>
  </si>
  <si>
    <t>Tomate seco</t>
  </si>
  <si>
    <t>Queso curado de oveja</t>
  </si>
  <si>
    <t>Salsa de tomate</t>
  </si>
  <si>
    <t>Tomillo seco</t>
  </si>
  <si>
    <t>Fettuccini</t>
  </si>
  <si>
    <t>Salmón</t>
  </si>
  <si>
    <t>Nata líquida</t>
  </si>
  <si>
    <t xml:space="preserve">Pastel de macarrones y pollo </t>
  </si>
  <si>
    <t>Rigatoni</t>
  </si>
  <si>
    <t>Setas</t>
  </si>
  <si>
    <t>Tomate maduro</t>
  </si>
  <si>
    <t>Macarrones</t>
  </si>
  <si>
    <t>Muslo de pollo deshuesado</t>
  </si>
  <si>
    <t>Yogur natural</t>
  </si>
  <si>
    <t>Fiedos</t>
  </si>
  <si>
    <t>Paté</t>
  </si>
  <si>
    <t>Canela</t>
  </si>
  <si>
    <t>Tallarines</t>
  </si>
  <si>
    <t>Cebolleta</t>
  </si>
  <si>
    <t>Tagliatelle</t>
  </si>
  <si>
    <t>Yema de huevo</t>
  </si>
  <si>
    <t>Tallarines con jamón y panceta</t>
  </si>
  <si>
    <t>Canelón</t>
  </si>
  <si>
    <t>Merluza</t>
  </si>
  <si>
    <t>Caldo de pescado</t>
  </si>
  <si>
    <t>Jamón serrano</t>
  </si>
  <si>
    <t>Cayena</t>
  </si>
  <si>
    <t>Carne picada mixto</t>
  </si>
  <si>
    <t>Zumo de limón</t>
  </si>
  <si>
    <t>Almendra</t>
  </si>
  <si>
    <t>Aceite de las abóndigas</t>
  </si>
  <si>
    <t>Azúcar</t>
  </si>
  <si>
    <t>Aleta de ternera</t>
  </si>
  <si>
    <t>Coles de bruselas</t>
  </si>
  <si>
    <t>Escarola</t>
  </si>
  <si>
    <t>Azúcar moreno</t>
  </si>
  <si>
    <t>Sake</t>
  </si>
  <si>
    <t>Mirin</t>
  </si>
  <si>
    <t>Harina de maíz</t>
  </si>
  <si>
    <t>Carrilleras de ternera</t>
  </si>
  <si>
    <t>Vino tinto</t>
  </si>
  <si>
    <t>Vino de oporto</t>
  </si>
  <si>
    <t>Tomillo</t>
  </si>
  <si>
    <t>Judías verdes</t>
  </si>
  <si>
    <t>Pimentón dulce</t>
  </si>
  <si>
    <t>Jarrete de cordero</t>
  </si>
  <si>
    <t>Arroz largo</t>
  </si>
  <si>
    <t>Tomate concentrado</t>
  </si>
  <si>
    <t>Romero</t>
  </si>
  <si>
    <t>Carne de cordero picada</t>
  </si>
  <si>
    <t>Muslo de pavo</t>
  </si>
  <si>
    <t>Hoja de col</t>
  </si>
  <si>
    <t>Polenta</t>
  </si>
  <si>
    <t>Ternera</t>
  </si>
  <si>
    <t>Boletus</t>
  </si>
  <si>
    <t>Sidra</t>
  </si>
  <si>
    <t>Lagarto de cedo</t>
  </si>
  <si>
    <t>Pedro Ximénez</t>
  </si>
  <si>
    <t>Mango maduro</t>
  </si>
  <si>
    <t>Cebolla en polvo</t>
  </si>
  <si>
    <t>Ajo en polvo</t>
  </si>
  <si>
    <t>Bacalao</t>
  </si>
  <si>
    <t>Guindillas</t>
  </si>
  <si>
    <t>Pimiento morrón</t>
  </si>
  <si>
    <t>Harina de tempura</t>
  </si>
  <si>
    <t>Bonito</t>
  </si>
  <si>
    <t>Eneldo</t>
  </si>
  <si>
    <t>Chalota</t>
  </si>
  <si>
    <t>Mayonesa</t>
  </si>
  <si>
    <t>Cebollino</t>
  </si>
  <si>
    <t>Gulas</t>
  </si>
  <si>
    <t>Salmonete</t>
  </si>
  <si>
    <t>Rape</t>
  </si>
  <si>
    <t>Atún</t>
  </si>
  <si>
    <t>Cuscús precocido</t>
  </si>
  <si>
    <t>Hinojo</t>
  </si>
  <si>
    <t>Borraja</t>
  </si>
  <si>
    <t>Salmón ahumado</t>
  </si>
  <si>
    <t>Pan hamburguesa</t>
  </si>
  <si>
    <t>Pepinillos</t>
  </si>
  <si>
    <t>Hojas de lechuga</t>
  </si>
  <si>
    <t>Rodajas de tomate</t>
  </si>
  <si>
    <t>Láminas hojaldre</t>
  </si>
  <si>
    <t>Vermut blanco</t>
  </si>
  <si>
    <t>Estragón</t>
  </si>
  <si>
    <t>Cebolla roja</t>
  </si>
  <si>
    <t>Alachofa</t>
  </si>
  <si>
    <t>Pistacho pelado</t>
  </si>
  <si>
    <t>Matequilla</t>
  </si>
  <si>
    <t>Canónigos</t>
  </si>
  <si>
    <t>Cayena en polvo</t>
  </si>
  <si>
    <t>Pimieto morrón</t>
  </si>
  <si>
    <t>Pimientos del padrón</t>
  </si>
  <si>
    <t>Vinagre de módena</t>
  </si>
  <si>
    <t>Calamar</t>
  </si>
  <si>
    <t>Levadura</t>
  </si>
  <si>
    <t>Agua con gas</t>
  </si>
  <si>
    <t>Leche condensada</t>
  </si>
  <si>
    <t>Cacao en polvo</t>
  </si>
  <si>
    <t>Nata montada</t>
  </si>
  <si>
    <t>Frambuesas</t>
  </si>
  <si>
    <t>Menta</t>
  </si>
  <si>
    <t>Galletas rectangulares</t>
  </si>
  <si>
    <t>Nueces de macadamia</t>
  </si>
  <si>
    <t>Naranja</t>
  </si>
  <si>
    <t>Queso cremoso</t>
  </si>
  <si>
    <t>Tarta de galletas y chocolate con macadamia</t>
  </si>
  <si>
    <t>Lámina hojaldre</t>
  </si>
  <si>
    <t>Chocolate de cobertura</t>
  </si>
  <si>
    <t>Chocolate negro de cobertura</t>
  </si>
  <si>
    <t>Chocolate blanco de cobertura</t>
  </si>
  <si>
    <t>Fresas</t>
  </si>
  <si>
    <t>Queso mascarpone</t>
  </si>
  <si>
    <t>Azúcar glas</t>
  </si>
  <si>
    <t>Peras</t>
  </si>
  <si>
    <t>Arándanos</t>
  </si>
  <si>
    <t>Cerezas</t>
  </si>
  <si>
    <t>Esencia de vainilla</t>
  </si>
  <si>
    <t>Ralladura de lima</t>
  </si>
  <si>
    <t>Bicarbonato</t>
  </si>
  <si>
    <t>Leche de oveja</t>
  </si>
  <si>
    <t>Gotas de cuajo líquido de farmacia</t>
  </si>
  <si>
    <t>Vainilla</t>
  </si>
  <si>
    <t>Mermelada de albaricoque</t>
  </si>
  <si>
    <t>Agua</t>
  </si>
  <si>
    <t>Corteza de naranja</t>
  </si>
  <si>
    <t>Corteza de limón</t>
  </si>
  <si>
    <t>Helado</t>
  </si>
  <si>
    <t>Queso crema</t>
  </si>
  <si>
    <t>Plátano</t>
  </si>
  <si>
    <t>Nata para montar</t>
  </si>
  <si>
    <t>Galletas</t>
  </si>
  <si>
    <t>Helado de vainilla</t>
  </si>
  <si>
    <t>Crocanti de almendra</t>
  </si>
  <si>
    <t>Aceitunas</t>
  </si>
  <si>
    <t>Tomates cherry</t>
  </si>
  <si>
    <t>Miel</t>
  </si>
  <si>
    <t>Masa madre</t>
  </si>
  <si>
    <t>Gotas de chocolate</t>
  </si>
  <si>
    <t>Lata atún</t>
  </si>
  <si>
    <t>Tomates pera</t>
  </si>
  <si>
    <t>Alcaparras</t>
  </si>
  <si>
    <t>Manteca de cerdo</t>
  </si>
  <si>
    <t>Lomo de cerdo</t>
  </si>
  <si>
    <t>Copos de avena</t>
  </si>
  <si>
    <t>Harina integral</t>
  </si>
  <si>
    <t>Sopas</t>
  </si>
  <si>
    <t>Cremas</t>
  </si>
  <si>
    <t>Verduras</t>
  </si>
  <si>
    <t>Legumbres</t>
  </si>
  <si>
    <t>Huevos</t>
  </si>
  <si>
    <t>Arroces</t>
  </si>
  <si>
    <t>Pastas</t>
  </si>
  <si>
    <t>Carnes</t>
  </si>
  <si>
    <t>Pescados</t>
  </si>
  <si>
    <t>Postres</t>
  </si>
  <si>
    <t>Panes</t>
  </si>
  <si>
    <t>Resumen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</si>
</sst>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€&quot;_-;\-* #,##0.00\ &quot;€&quot;_-;_-* &quot;-&quot;??\ &quot;€&quot;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2" fontId="0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Border="1" applyAlignment="1">
      <alignment horizontal="left" vertical="center"/>
    </xf>
    <xf numFmtId="0" fontId="0" fillId="0" borderId="0" xfId="0" applyBorder="1" applyAlignment="1">
      <alignment horizontal="center" vertical="center"/>
    </xf>
    <xf numFmtId="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0" xfId="0" applyBorder="1" applyAlignment="1">
      <alignment horizontal="left"/>
    </xf>
    <xf numFmtId="0" fontId="0" fillId="0" borderId="0" xfId="0" applyBorder="1" applyAlignment="1">
      <alignment horizontal="center"/>
    </xf>
    <xf numFmtId="2" fontId="0" fillId="0" borderId="0" xfId="1" applyNumberFormat="1" applyFont="1" applyBorder="1" applyAlignment="1">
      <alignment horizontal="center" vertical="center"/>
    </xf>
    <xf numFmtId="2" fontId="0" fillId="0" borderId="0" xfId="0" applyNumberFormat="1" applyBorder="1" applyAlignment="1">
      <alignment horizontal="center"/>
    </xf>
    <xf numFmtId="0" fontId="2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0" fillId="0" borderId="7" xfId="0" applyBorder="1"/>
    <xf numFmtId="0" fontId="2" fillId="0" borderId="8" xfId="0" applyFont="1" applyBorder="1"/>
    <xf numFmtId="0" fontId="0" fillId="0" borderId="9" xfId="0" applyBorder="1"/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2" fontId="0" fillId="0" borderId="1" xfId="0" applyNumberFormat="1" applyBorder="1"/>
    <xf numFmtId="0" fontId="0" fillId="0" borderId="6" xfId="0" applyBorder="1"/>
    <xf numFmtId="0" fontId="0" fillId="0" borderId="15" xfId="0" applyFill="1" applyBorder="1" applyAlignment="1">
      <alignment horizontal="center" vertic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0" fillId="0" borderId="3" xfId="0" applyBorder="1"/>
    <xf numFmtId="0" fontId="0" fillId="0" borderId="16" xfId="0" applyBorder="1" applyAlignment="1">
      <alignment horizontal="center"/>
    </xf>
    <xf numFmtId="0" fontId="0" fillId="0" borderId="2" xfId="0" applyFill="1" applyBorder="1" applyAlignment="1">
      <alignment horizontal="center"/>
    </xf>
    <xf numFmtId="0" fontId="0" fillId="0" borderId="17" xfId="0" applyFill="1" applyBorder="1" applyAlignment="1">
      <alignment horizontal="center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9AACB-5F17-4F1F-A0E3-382FC7616A46}">
  <dimension ref="A1:E37"/>
  <sheetViews>
    <sheetView workbookViewId="0">
      <pane ySplit="1" topLeftCell="A2" activePane="bottomLeft" state="frozen"/>
      <selection activeCell="B2" sqref="B2:B28"/>
      <selection pane="bottomLeft" activeCell="B2" sqref="B2:B28"/>
    </sheetView>
  </sheetViews>
  <sheetFormatPr baseColWidth="10" defaultRowHeight="14.4" x14ac:dyDescent="0.3"/>
  <cols>
    <col min="1" max="1" width="25" style="9" bestFit="1" customWidth="1"/>
    <col min="2" max="2" width="10.33203125" style="10" customWidth="1"/>
    <col min="3" max="3" width="20.6640625" style="14" bestFit="1" customWidth="1"/>
    <col min="4" max="4" width="11.5546875" style="16"/>
    <col min="5" max="5" width="11.5546875" style="14"/>
    <col min="6" max="16384" width="11.5546875" style="12"/>
  </cols>
  <sheetData>
    <row r="1" spans="1:5" x14ac:dyDescent="0.3">
      <c r="A1" s="3" t="s">
        <v>0</v>
      </c>
      <c r="B1" s="3" t="s">
        <v>225</v>
      </c>
      <c r="C1" s="3" t="s">
        <v>1</v>
      </c>
      <c r="D1" s="4" t="s">
        <v>91</v>
      </c>
      <c r="E1" s="3" t="s">
        <v>96</v>
      </c>
    </row>
    <row r="2" spans="1:5" x14ac:dyDescent="0.3">
      <c r="A2" s="8" t="s">
        <v>10</v>
      </c>
      <c r="B2" s="7">
        <v>185</v>
      </c>
      <c r="C2" s="3" t="s">
        <v>119</v>
      </c>
      <c r="D2" s="4">
        <v>1000</v>
      </c>
      <c r="E2" s="3" t="s">
        <v>95</v>
      </c>
    </row>
    <row r="3" spans="1:5" x14ac:dyDescent="0.3">
      <c r="A3" s="8"/>
      <c r="B3" s="7"/>
      <c r="C3" s="3" t="s">
        <v>124</v>
      </c>
      <c r="D3" s="4">
        <v>300</v>
      </c>
      <c r="E3" s="3" t="s">
        <v>95</v>
      </c>
    </row>
    <row r="4" spans="1:5" x14ac:dyDescent="0.3">
      <c r="A4" s="8"/>
      <c r="B4" s="7"/>
      <c r="C4" s="3" t="s">
        <v>125</v>
      </c>
      <c r="D4" s="4">
        <v>100</v>
      </c>
      <c r="E4" s="3" t="s">
        <v>95</v>
      </c>
    </row>
    <row r="5" spans="1:5" x14ac:dyDescent="0.3">
      <c r="A5" s="8"/>
      <c r="B5" s="7"/>
      <c r="C5" s="2" t="s">
        <v>126</v>
      </c>
      <c r="D5" s="5">
        <v>1</v>
      </c>
      <c r="E5" s="3" t="s">
        <v>94</v>
      </c>
    </row>
    <row r="6" spans="1:5" x14ac:dyDescent="0.3">
      <c r="A6" s="8"/>
      <c r="B6" s="7"/>
      <c r="C6" s="2" t="s">
        <v>122</v>
      </c>
      <c r="D6" s="5">
        <v>1</v>
      </c>
      <c r="E6" s="3" t="s">
        <v>94</v>
      </c>
    </row>
    <row r="7" spans="1:5" x14ac:dyDescent="0.3">
      <c r="A7" s="8"/>
      <c r="B7" s="7"/>
      <c r="C7" s="2" t="s">
        <v>114</v>
      </c>
      <c r="D7" s="5">
        <v>1</v>
      </c>
      <c r="E7" s="3" t="s">
        <v>94</v>
      </c>
    </row>
    <row r="8" spans="1:5" x14ac:dyDescent="0.3">
      <c r="A8" s="8"/>
      <c r="B8" s="7"/>
      <c r="C8" s="2" t="s">
        <v>116</v>
      </c>
      <c r="D8" s="5">
        <v>1</v>
      </c>
      <c r="E8" s="3" t="s">
        <v>94</v>
      </c>
    </row>
    <row r="9" spans="1:5" x14ac:dyDescent="0.3">
      <c r="A9" s="8" t="s">
        <v>11</v>
      </c>
      <c r="B9" s="7">
        <v>190</v>
      </c>
      <c r="C9" s="3" t="s">
        <v>127</v>
      </c>
      <c r="D9" s="4">
        <v>200</v>
      </c>
      <c r="E9" s="3" t="s">
        <v>95</v>
      </c>
    </row>
    <row r="10" spans="1:5" x14ac:dyDescent="0.3">
      <c r="A10" s="8"/>
      <c r="B10" s="7"/>
      <c r="C10" s="2" t="s">
        <v>128</v>
      </c>
      <c r="D10" s="5">
        <v>1</v>
      </c>
      <c r="E10" s="3" t="s">
        <v>94</v>
      </c>
    </row>
    <row r="11" spans="1:5" x14ac:dyDescent="0.3">
      <c r="A11" s="8"/>
      <c r="B11" s="7"/>
      <c r="C11" s="2" t="s">
        <v>129</v>
      </c>
      <c r="D11" s="5">
        <v>250</v>
      </c>
      <c r="E11" s="3" t="s">
        <v>95</v>
      </c>
    </row>
    <row r="12" spans="1:5" x14ac:dyDescent="0.3">
      <c r="A12" s="8"/>
      <c r="B12" s="7"/>
      <c r="C12" s="2" t="s">
        <v>130</v>
      </c>
      <c r="D12" s="5">
        <v>4</v>
      </c>
      <c r="E12" s="3" t="s">
        <v>94</v>
      </c>
    </row>
    <row r="13" spans="1:5" x14ac:dyDescent="0.3">
      <c r="A13" s="8"/>
      <c r="B13" s="7"/>
      <c r="C13" s="2" t="s">
        <v>131</v>
      </c>
      <c r="D13" s="5">
        <v>1</v>
      </c>
      <c r="E13" s="3" t="s">
        <v>94</v>
      </c>
    </row>
    <row r="14" spans="1:5" x14ac:dyDescent="0.3">
      <c r="A14" s="8"/>
      <c r="B14" s="7"/>
      <c r="C14" s="2" t="s">
        <v>101</v>
      </c>
      <c r="D14" s="5">
        <v>1</v>
      </c>
      <c r="E14" s="3" t="s">
        <v>94</v>
      </c>
    </row>
    <row r="15" spans="1:5" x14ac:dyDescent="0.3">
      <c r="A15" s="8"/>
      <c r="B15" s="7"/>
      <c r="C15" s="2" t="s">
        <v>126</v>
      </c>
      <c r="D15" s="5">
        <v>2</v>
      </c>
      <c r="E15" s="3" t="s">
        <v>94</v>
      </c>
    </row>
    <row r="16" spans="1:5" x14ac:dyDescent="0.3">
      <c r="A16" s="8"/>
      <c r="B16" s="7"/>
      <c r="C16" s="2" t="s">
        <v>132</v>
      </c>
      <c r="D16" s="5">
        <v>1</v>
      </c>
      <c r="E16" s="3" t="s">
        <v>94</v>
      </c>
    </row>
    <row r="17" spans="1:5" x14ac:dyDescent="0.3">
      <c r="A17" s="8"/>
      <c r="B17" s="7"/>
      <c r="C17" s="2" t="s">
        <v>133</v>
      </c>
      <c r="D17" s="5">
        <v>50</v>
      </c>
      <c r="E17" s="3" t="s">
        <v>95</v>
      </c>
    </row>
    <row r="18" spans="1:5" x14ac:dyDescent="0.3">
      <c r="A18" s="8"/>
      <c r="B18" s="7"/>
      <c r="C18" s="2" t="s">
        <v>114</v>
      </c>
      <c r="D18" s="5">
        <v>1</v>
      </c>
      <c r="E18" s="3" t="s">
        <v>94</v>
      </c>
    </row>
    <row r="19" spans="1:5" x14ac:dyDescent="0.3">
      <c r="A19" s="8"/>
      <c r="B19" s="7"/>
      <c r="C19" s="2" t="s">
        <v>116</v>
      </c>
      <c r="D19" s="5">
        <v>1</v>
      </c>
      <c r="E19" s="3" t="s">
        <v>94</v>
      </c>
    </row>
    <row r="20" spans="1:5" x14ac:dyDescent="0.3">
      <c r="A20" s="8" t="s">
        <v>12</v>
      </c>
      <c r="B20" s="7">
        <v>205</v>
      </c>
      <c r="C20" s="3" t="s">
        <v>134</v>
      </c>
      <c r="D20" s="4">
        <v>150</v>
      </c>
      <c r="E20" s="3" t="s">
        <v>95</v>
      </c>
    </row>
    <row r="21" spans="1:5" x14ac:dyDescent="0.3">
      <c r="A21" s="8"/>
      <c r="B21" s="7"/>
      <c r="C21" s="2" t="s">
        <v>135</v>
      </c>
      <c r="D21" s="5">
        <v>0.5</v>
      </c>
      <c r="E21" s="3" t="s">
        <v>94</v>
      </c>
    </row>
    <row r="22" spans="1:5" x14ac:dyDescent="0.3">
      <c r="A22" s="8"/>
      <c r="B22" s="7"/>
      <c r="C22" s="2" t="s">
        <v>126</v>
      </c>
      <c r="D22" s="5">
        <v>2</v>
      </c>
      <c r="E22" s="3" t="s">
        <v>94</v>
      </c>
    </row>
    <row r="23" spans="1:5" x14ac:dyDescent="0.3">
      <c r="A23" s="8"/>
      <c r="B23" s="7"/>
      <c r="C23" s="2" t="s">
        <v>136</v>
      </c>
      <c r="D23" s="5">
        <v>50</v>
      </c>
      <c r="E23" s="3" t="s">
        <v>99</v>
      </c>
    </row>
    <row r="24" spans="1:5" x14ac:dyDescent="0.3">
      <c r="A24" s="8"/>
      <c r="B24" s="7"/>
      <c r="C24" s="2" t="s">
        <v>101</v>
      </c>
      <c r="D24" s="5">
        <v>1</v>
      </c>
      <c r="E24" s="3" t="s">
        <v>94</v>
      </c>
    </row>
    <row r="25" spans="1:5" x14ac:dyDescent="0.3">
      <c r="A25" s="8"/>
      <c r="B25" s="7"/>
      <c r="C25" s="2" t="s">
        <v>131</v>
      </c>
      <c r="D25" s="5">
        <v>0.5</v>
      </c>
      <c r="E25" s="3" t="s">
        <v>94</v>
      </c>
    </row>
    <row r="26" spans="1:5" x14ac:dyDescent="0.3">
      <c r="A26" s="8"/>
      <c r="B26" s="7"/>
      <c r="C26" s="2" t="s">
        <v>120</v>
      </c>
      <c r="D26" s="5">
        <v>1</v>
      </c>
      <c r="E26" s="3" t="s">
        <v>94</v>
      </c>
    </row>
    <row r="27" spans="1:5" x14ac:dyDescent="0.3">
      <c r="A27" s="8"/>
      <c r="B27" s="7"/>
      <c r="C27" s="2" t="s">
        <v>108</v>
      </c>
      <c r="D27" s="5">
        <v>1</v>
      </c>
      <c r="E27" s="3" t="s">
        <v>94</v>
      </c>
    </row>
    <row r="28" spans="1:5" x14ac:dyDescent="0.3">
      <c r="A28" s="8"/>
      <c r="B28" s="7"/>
      <c r="C28" s="2" t="s">
        <v>137</v>
      </c>
      <c r="D28" s="5">
        <v>0.5</v>
      </c>
      <c r="E28" s="3" t="s">
        <v>94</v>
      </c>
    </row>
    <row r="29" spans="1:5" x14ac:dyDescent="0.3">
      <c r="A29" s="8"/>
      <c r="B29" s="7"/>
      <c r="C29" s="2" t="s">
        <v>138</v>
      </c>
      <c r="D29" s="5">
        <v>1</v>
      </c>
      <c r="E29" s="3" t="s">
        <v>94</v>
      </c>
    </row>
    <row r="30" spans="1:5" x14ac:dyDescent="0.3">
      <c r="A30" s="8"/>
      <c r="B30" s="7"/>
      <c r="C30" s="2" t="s">
        <v>139</v>
      </c>
      <c r="D30" s="5">
        <v>1</v>
      </c>
      <c r="E30" s="3" t="s">
        <v>94</v>
      </c>
    </row>
    <row r="31" spans="1:5" x14ac:dyDescent="0.3">
      <c r="A31" s="8"/>
      <c r="B31" s="7"/>
      <c r="C31" s="2" t="s">
        <v>122</v>
      </c>
      <c r="D31" s="5">
        <v>1</v>
      </c>
      <c r="E31" s="3" t="s">
        <v>94</v>
      </c>
    </row>
    <row r="32" spans="1:5" x14ac:dyDescent="0.3">
      <c r="A32" s="8"/>
      <c r="B32" s="7"/>
      <c r="C32" s="2" t="s">
        <v>140</v>
      </c>
      <c r="D32" s="5">
        <v>30</v>
      </c>
      <c r="E32" s="3" t="s">
        <v>99</v>
      </c>
    </row>
    <row r="33" spans="1:5" x14ac:dyDescent="0.3">
      <c r="A33" s="8"/>
      <c r="B33" s="7"/>
      <c r="C33" s="2" t="s">
        <v>141</v>
      </c>
      <c r="D33" s="5">
        <v>15</v>
      </c>
      <c r="E33" s="3" t="s">
        <v>95</v>
      </c>
    </row>
    <row r="34" spans="1:5" x14ac:dyDescent="0.3">
      <c r="A34" s="8"/>
      <c r="B34" s="7"/>
      <c r="C34" s="2" t="s">
        <v>114</v>
      </c>
      <c r="D34" s="5">
        <v>1</v>
      </c>
      <c r="E34" s="3" t="s">
        <v>94</v>
      </c>
    </row>
    <row r="35" spans="1:5" x14ac:dyDescent="0.3">
      <c r="A35" s="8"/>
      <c r="B35" s="7"/>
      <c r="C35" s="2" t="s">
        <v>142</v>
      </c>
      <c r="D35" s="5">
        <v>1</v>
      </c>
      <c r="E35" s="3" t="s">
        <v>94</v>
      </c>
    </row>
    <row r="36" spans="1:5" x14ac:dyDescent="0.3">
      <c r="A36" s="8"/>
      <c r="B36" s="7"/>
      <c r="C36" s="2" t="s">
        <v>143</v>
      </c>
      <c r="D36" s="5">
        <v>1</v>
      </c>
      <c r="E36" s="3" t="s">
        <v>94</v>
      </c>
    </row>
    <row r="37" spans="1:5" x14ac:dyDescent="0.3">
      <c r="A37" s="8"/>
      <c r="B37" s="7"/>
      <c r="C37" s="2" t="s">
        <v>116</v>
      </c>
      <c r="D37" s="5">
        <v>1</v>
      </c>
      <c r="E37" s="3" t="s">
        <v>94</v>
      </c>
    </row>
  </sheetData>
  <mergeCells count="6">
    <mergeCell ref="A2:A8"/>
    <mergeCell ref="A20:A37"/>
    <mergeCell ref="A9:A19"/>
    <mergeCell ref="B20:B37"/>
    <mergeCell ref="B9:B19"/>
    <mergeCell ref="B2:B8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1684C65-5330-452F-B6A2-30B76F0A7B31}">
          <x14:formula1>
            <xm:f>Otros!$B$3:$B$6</xm:f>
          </x14:formula1>
          <xm:sqref>E2:E37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F692E-EA55-4A1D-B87D-2511FB385E67}">
  <dimension ref="A1:E24"/>
  <sheetViews>
    <sheetView workbookViewId="0">
      <pane ySplit="1" topLeftCell="A2" activePane="bottomLeft" state="frozen"/>
      <selection activeCell="B2" sqref="B2:B28"/>
      <selection pane="bottomLeft" activeCell="B2" sqref="B2:B28"/>
    </sheetView>
  </sheetViews>
  <sheetFormatPr baseColWidth="10" defaultRowHeight="14.4" x14ac:dyDescent="0.3"/>
  <cols>
    <col min="1" max="1" width="18.6640625" style="13" bestFit="1" customWidth="1"/>
    <col min="2" max="2" width="10.33203125" style="14" customWidth="1"/>
    <col min="3" max="3" width="19.33203125" style="14" bestFit="1" customWidth="1"/>
    <col min="4" max="4" width="11.5546875" style="16"/>
    <col min="5" max="5" width="11.5546875" style="14"/>
    <col min="6" max="16384" width="11.5546875" style="12"/>
  </cols>
  <sheetData>
    <row r="1" spans="1:5" x14ac:dyDescent="0.3">
      <c r="A1" s="3" t="str">
        <f>Sopas!A1</f>
        <v>Plato</v>
      </c>
      <c r="B1" s="3" t="s">
        <v>225</v>
      </c>
      <c r="C1" s="3" t="str">
        <f>Sopas!C1</f>
        <v>Ingredientes</v>
      </c>
      <c r="D1" s="4" t="str">
        <f>Sopas!D1</f>
        <v>Cantidades</v>
      </c>
      <c r="E1" s="3" t="str">
        <f>Sopas!E1</f>
        <v>Unidades</v>
      </c>
    </row>
    <row r="2" spans="1:5" x14ac:dyDescent="0.3">
      <c r="A2" s="8" t="s">
        <v>8</v>
      </c>
      <c r="B2" s="7">
        <v>166</v>
      </c>
      <c r="C2" s="3" t="s">
        <v>97</v>
      </c>
      <c r="D2" s="4">
        <v>2</v>
      </c>
      <c r="E2" s="3" t="s">
        <v>94</v>
      </c>
    </row>
    <row r="3" spans="1:5" x14ac:dyDescent="0.3">
      <c r="A3" s="8"/>
      <c r="B3" s="7"/>
      <c r="C3" s="3" t="s">
        <v>101</v>
      </c>
      <c r="D3" s="4">
        <v>1</v>
      </c>
      <c r="E3" s="3" t="s">
        <v>94</v>
      </c>
    </row>
    <row r="4" spans="1:5" x14ac:dyDescent="0.3">
      <c r="A4" s="8"/>
      <c r="B4" s="7"/>
      <c r="C4" s="3" t="s">
        <v>108</v>
      </c>
      <c r="D4" s="4">
        <v>1</v>
      </c>
      <c r="E4" s="3" t="s">
        <v>94</v>
      </c>
    </row>
    <row r="5" spans="1:5" x14ac:dyDescent="0.3">
      <c r="A5" s="8"/>
      <c r="B5" s="7"/>
      <c r="C5" s="3" t="s">
        <v>109</v>
      </c>
      <c r="D5" s="4">
        <v>1500</v>
      </c>
      <c r="E5" s="3" t="s">
        <v>99</v>
      </c>
    </row>
    <row r="6" spans="1:5" x14ac:dyDescent="0.3">
      <c r="A6" s="8"/>
      <c r="B6" s="7"/>
      <c r="C6" s="2" t="s">
        <v>110</v>
      </c>
      <c r="D6" s="5">
        <v>4</v>
      </c>
      <c r="E6" s="3" t="s">
        <v>107</v>
      </c>
    </row>
    <row r="7" spans="1:5" x14ac:dyDescent="0.3">
      <c r="A7" s="8"/>
      <c r="B7" s="7"/>
      <c r="C7" s="2" t="s">
        <v>111</v>
      </c>
      <c r="D7" s="5">
        <v>2</v>
      </c>
      <c r="E7" s="3" t="s">
        <v>94</v>
      </c>
    </row>
    <row r="8" spans="1:5" x14ac:dyDescent="0.3">
      <c r="A8" s="8"/>
      <c r="B8" s="7"/>
      <c r="C8" s="2" t="s">
        <v>112</v>
      </c>
      <c r="D8" s="5">
        <v>125</v>
      </c>
      <c r="E8" s="3" t="s">
        <v>99</v>
      </c>
    </row>
    <row r="9" spans="1:5" x14ac:dyDescent="0.3">
      <c r="A9" s="8"/>
      <c r="B9" s="7"/>
      <c r="C9" s="2" t="s">
        <v>113</v>
      </c>
      <c r="D9" s="5">
        <v>100</v>
      </c>
      <c r="E9" s="3" t="s">
        <v>95</v>
      </c>
    </row>
    <row r="10" spans="1:5" x14ac:dyDescent="0.3">
      <c r="A10" s="8"/>
      <c r="B10" s="7"/>
      <c r="C10" s="2" t="s">
        <v>122</v>
      </c>
      <c r="D10" s="5">
        <v>1</v>
      </c>
      <c r="E10" s="3" t="s">
        <v>94</v>
      </c>
    </row>
    <row r="11" spans="1:5" x14ac:dyDescent="0.3">
      <c r="A11" s="8"/>
      <c r="B11" s="7"/>
      <c r="C11" s="2" t="s">
        <v>114</v>
      </c>
      <c r="D11" s="5">
        <v>1</v>
      </c>
      <c r="E11" s="3" t="s">
        <v>94</v>
      </c>
    </row>
    <row r="12" spans="1:5" x14ac:dyDescent="0.3">
      <c r="A12" s="8"/>
      <c r="B12" s="7"/>
      <c r="C12" s="2" t="s">
        <v>115</v>
      </c>
      <c r="D12" s="5">
        <v>1</v>
      </c>
      <c r="E12" s="3" t="s">
        <v>94</v>
      </c>
    </row>
    <row r="13" spans="1:5" x14ac:dyDescent="0.3">
      <c r="A13" s="8"/>
      <c r="B13" s="7"/>
      <c r="C13" s="2" t="s">
        <v>116</v>
      </c>
      <c r="D13" s="5">
        <v>1</v>
      </c>
      <c r="E13" s="3" t="s">
        <v>94</v>
      </c>
    </row>
    <row r="14" spans="1:5" x14ac:dyDescent="0.3">
      <c r="A14" s="8" t="s">
        <v>9</v>
      </c>
      <c r="B14" s="7">
        <v>177</v>
      </c>
      <c r="C14" s="2" t="s">
        <v>120</v>
      </c>
      <c r="D14" s="5">
        <v>800</v>
      </c>
      <c r="E14" s="3" t="s">
        <v>95</v>
      </c>
    </row>
    <row r="15" spans="1:5" x14ac:dyDescent="0.3">
      <c r="A15" s="8"/>
      <c r="B15" s="7"/>
      <c r="C15" s="2" t="s">
        <v>117</v>
      </c>
      <c r="D15" s="5">
        <v>1</v>
      </c>
      <c r="E15" s="3" t="s">
        <v>94</v>
      </c>
    </row>
    <row r="16" spans="1:5" x14ac:dyDescent="0.3">
      <c r="A16" s="8"/>
      <c r="B16" s="7"/>
      <c r="C16" s="2" t="s">
        <v>101</v>
      </c>
      <c r="D16" s="5">
        <v>0.5</v>
      </c>
      <c r="E16" s="3" t="s">
        <v>94</v>
      </c>
    </row>
    <row r="17" spans="1:5" x14ac:dyDescent="0.3">
      <c r="A17" s="8"/>
      <c r="B17" s="7"/>
      <c r="C17" s="2" t="s">
        <v>108</v>
      </c>
      <c r="D17" s="5">
        <v>0.5</v>
      </c>
      <c r="E17" s="3" t="s">
        <v>94</v>
      </c>
    </row>
    <row r="18" spans="1:5" x14ac:dyDescent="0.3">
      <c r="A18" s="8"/>
      <c r="B18" s="7"/>
      <c r="C18" s="2" t="s">
        <v>100</v>
      </c>
      <c r="D18" s="5">
        <v>100</v>
      </c>
      <c r="E18" s="3" t="s">
        <v>95</v>
      </c>
    </row>
    <row r="19" spans="1:5" x14ac:dyDescent="0.3">
      <c r="A19" s="8"/>
      <c r="B19" s="7"/>
      <c r="C19" s="2" t="s">
        <v>119</v>
      </c>
      <c r="D19" s="5">
        <v>1</v>
      </c>
      <c r="E19" s="3" t="s">
        <v>94</v>
      </c>
    </row>
    <row r="20" spans="1:5" x14ac:dyDescent="0.3">
      <c r="A20" s="8"/>
      <c r="B20" s="7"/>
      <c r="C20" s="2" t="s">
        <v>121</v>
      </c>
      <c r="D20" s="5">
        <v>1</v>
      </c>
      <c r="E20" s="3" t="s">
        <v>107</v>
      </c>
    </row>
    <row r="21" spans="1:5" x14ac:dyDescent="0.3">
      <c r="A21" s="8"/>
      <c r="B21" s="7"/>
      <c r="C21" s="2" t="s">
        <v>122</v>
      </c>
      <c r="D21" s="5">
        <v>50</v>
      </c>
      <c r="E21" s="3" t="s">
        <v>99</v>
      </c>
    </row>
    <row r="22" spans="1:5" x14ac:dyDescent="0.3">
      <c r="A22" s="8"/>
      <c r="B22" s="7"/>
      <c r="C22" s="2" t="s">
        <v>114</v>
      </c>
      <c r="D22" s="5">
        <v>1</v>
      </c>
      <c r="E22" s="3" t="s">
        <v>94</v>
      </c>
    </row>
    <row r="23" spans="1:5" x14ac:dyDescent="0.3">
      <c r="A23" s="8"/>
      <c r="B23" s="7"/>
      <c r="C23" s="2" t="s">
        <v>123</v>
      </c>
      <c r="D23" s="5">
        <v>0.25</v>
      </c>
      <c r="E23" s="3" t="s">
        <v>107</v>
      </c>
    </row>
    <row r="24" spans="1:5" x14ac:dyDescent="0.3">
      <c r="A24" s="8"/>
      <c r="B24" s="7"/>
      <c r="C24" s="2" t="s">
        <v>116</v>
      </c>
      <c r="D24" s="5">
        <v>1</v>
      </c>
      <c r="E24" s="3" t="s">
        <v>94</v>
      </c>
    </row>
  </sheetData>
  <mergeCells count="4">
    <mergeCell ref="A2:A13"/>
    <mergeCell ref="A14:A24"/>
    <mergeCell ref="B14:B24"/>
    <mergeCell ref="B2:B13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D33AFB-7B34-4485-83B5-84DAF3809FEB}">
          <x14:formula1>
            <xm:f>Otros!$B$3:$B$6</xm:f>
          </x14:formula1>
          <xm:sqref>E2:E24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A1BE8-8DAE-4D02-BF62-1E7E5F252100}">
  <dimension ref="A1:E52"/>
  <sheetViews>
    <sheetView zoomScale="98" workbookViewId="0">
      <pane ySplit="1" topLeftCell="A2" activePane="bottomLeft" state="frozen"/>
      <selection activeCell="B9" sqref="B9:B19"/>
      <selection pane="bottomLeft" activeCell="E24" sqref="E24"/>
    </sheetView>
  </sheetViews>
  <sheetFormatPr baseColWidth="10" defaultRowHeight="14.4" x14ac:dyDescent="0.3"/>
  <cols>
    <col min="1" max="1" width="41" style="9" bestFit="1" customWidth="1"/>
    <col min="2" max="2" width="10.33203125" style="10" customWidth="1"/>
    <col min="3" max="3" width="14.77734375" style="14" bestFit="1" customWidth="1"/>
    <col min="4" max="4" width="11.5546875" style="16"/>
    <col min="5" max="5" width="11.5546875" style="14"/>
    <col min="6" max="16384" width="11.5546875" style="12"/>
  </cols>
  <sheetData>
    <row r="1" spans="1:5" x14ac:dyDescent="0.3">
      <c r="A1" s="3" t="str">
        <f>Sopas!A1</f>
        <v>Plato</v>
      </c>
      <c r="B1" s="3" t="s">
        <v>225</v>
      </c>
      <c r="C1" s="3" t="str">
        <f>Sopas!C1</f>
        <v>Ingredientes</v>
      </c>
      <c r="D1" s="4" t="str">
        <f>Sopas!D1</f>
        <v>Cantidades</v>
      </c>
      <c r="E1" s="3" t="str">
        <f>Sopas!E1</f>
        <v>Unidades</v>
      </c>
    </row>
    <row r="2" spans="1:5" x14ac:dyDescent="0.3">
      <c r="A2" s="8" t="s">
        <v>147</v>
      </c>
      <c r="B2" s="7">
        <v>214</v>
      </c>
      <c r="C2" s="2" t="s">
        <v>144</v>
      </c>
      <c r="D2" s="5">
        <v>2</v>
      </c>
      <c r="E2" s="3" t="s">
        <v>94</v>
      </c>
    </row>
    <row r="3" spans="1:5" x14ac:dyDescent="0.3">
      <c r="A3" s="8"/>
      <c r="B3" s="7"/>
      <c r="C3" s="2" t="s">
        <v>97</v>
      </c>
      <c r="D3" s="5">
        <v>1</v>
      </c>
      <c r="E3" s="3" t="s">
        <v>94</v>
      </c>
    </row>
    <row r="4" spans="1:5" x14ac:dyDescent="0.3">
      <c r="A4" s="8"/>
      <c r="B4" s="7"/>
      <c r="C4" s="2" t="s">
        <v>120</v>
      </c>
      <c r="D4" s="5">
        <v>3</v>
      </c>
      <c r="E4" s="3" t="s">
        <v>94</v>
      </c>
    </row>
    <row r="5" spans="1:5" x14ac:dyDescent="0.3">
      <c r="A5" s="8"/>
      <c r="B5" s="7"/>
      <c r="C5" s="2" t="s">
        <v>126</v>
      </c>
      <c r="D5" s="5">
        <v>3</v>
      </c>
      <c r="E5" s="3" t="s">
        <v>94</v>
      </c>
    </row>
    <row r="6" spans="1:5" x14ac:dyDescent="0.3">
      <c r="A6" s="8"/>
      <c r="B6" s="7"/>
      <c r="C6" s="2" t="s">
        <v>101</v>
      </c>
      <c r="D6" s="5">
        <v>1</v>
      </c>
      <c r="E6" s="3" t="s">
        <v>94</v>
      </c>
    </row>
    <row r="7" spans="1:5" x14ac:dyDescent="0.3">
      <c r="A7" s="8"/>
      <c r="B7" s="7"/>
      <c r="C7" s="2" t="s">
        <v>131</v>
      </c>
      <c r="D7" s="5">
        <v>1</v>
      </c>
      <c r="E7" s="3" t="s">
        <v>94</v>
      </c>
    </row>
    <row r="8" spans="1:5" x14ac:dyDescent="0.3">
      <c r="A8" s="8"/>
      <c r="B8" s="7"/>
      <c r="C8" s="2" t="s">
        <v>93</v>
      </c>
      <c r="D8" s="5">
        <v>1</v>
      </c>
      <c r="E8" s="3" t="s">
        <v>107</v>
      </c>
    </row>
    <row r="9" spans="1:5" x14ac:dyDescent="0.3">
      <c r="A9" s="8"/>
      <c r="B9" s="7"/>
      <c r="C9" s="2" t="s">
        <v>145</v>
      </c>
      <c r="D9" s="5">
        <v>100</v>
      </c>
      <c r="E9" s="3" t="s">
        <v>99</v>
      </c>
    </row>
    <row r="10" spans="1:5" x14ac:dyDescent="0.3">
      <c r="A10" s="8"/>
      <c r="B10" s="7"/>
      <c r="C10" s="2" t="s">
        <v>146</v>
      </c>
      <c r="D10" s="5">
        <v>50</v>
      </c>
      <c r="E10" s="3" t="s">
        <v>95</v>
      </c>
    </row>
    <row r="11" spans="1:5" x14ac:dyDescent="0.3">
      <c r="A11" s="8"/>
      <c r="B11" s="7"/>
      <c r="C11" s="2" t="s">
        <v>93</v>
      </c>
      <c r="D11" s="5">
        <v>1</v>
      </c>
      <c r="E11" s="3" t="s">
        <v>94</v>
      </c>
    </row>
    <row r="12" spans="1:5" x14ac:dyDescent="0.3">
      <c r="A12" s="8"/>
      <c r="B12" s="7"/>
      <c r="C12" s="2" t="s">
        <v>122</v>
      </c>
      <c r="D12" s="5">
        <v>1</v>
      </c>
      <c r="E12" s="3" t="s">
        <v>94</v>
      </c>
    </row>
    <row r="13" spans="1:5" x14ac:dyDescent="0.3">
      <c r="A13" s="8"/>
      <c r="B13" s="7"/>
      <c r="C13" s="2" t="s">
        <v>114</v>
      </c>
      <c r="D13" s="5">
        <v>1</v>
      </c>
      <c r="E13" s="3" t="s">
        <v>94</v>
      </c>
    </row>
    <row r="14" spans="1:5" x14ac:dyDescent="0.3">
      <c r="A14" s="8"/>
      <c r="B14" s="7"/>
      <c r="C14" s="2" t="s">
        <v>116</v>
      </c>
      <c r="D14" s="5">
        <v>1</v>
      </c>
      <c r="E14" s="3" t="s">
        <v>94</v>
      </c>
    </row>
    <row r="15" spans="1:5" x14ac:dyDescent="0.3">
      <c r="A15" s="8" t="s">
        <v>13</v>
      </c>
      <c r="B15" s="7">
        <v>224</v>
      </c>
      <c r="C15" s="2" t="s">
        <v>148</v>
      </c>
      <c r="D15" s="5">
        <v>2</v>
      </c>
      <c r="E15" s="3" t="s">
        <v>94</v>
      </c>
    </row>
    <row r="16" spans="1:5" x14ac:dyDescent="0.3">
      <c r="A16" s="8"/>
      <c r="B16" s="7"/>
      <c r="C16" s="2" t="s">
        <v>126</v>
      </c>
      <c r="D16" s="5">
        <v>3</v>
      </c>
      <c r="E16" s="3" t="s">
        <v>94</v>
      </c>
    </row>
    <row r="17" spans="1:5" x14ac:dyDescent="0.3">
      <c r="A17" s="8"/>
      <c r="B17" s="7"/>
      <c r="C17" s="2" t="s">
        <v>120</v>
      </c>
      <c r="D17" s="5">
        <v>1</v>
      </c>
      <c r="E17" s="3" t="s">
        <v>94</v>
      </c>
    </row>
    <row r="18" spans="1:5" x14ac:dyDescent="0.3">
      <c r="A18" s="8"/>
      <c r="B18" s="7"/>
      <c r="C18" s="2" t="s">
        <v>108</v>
      </c>
      <c r="D18" s="5">
        <v>1</v>
      </c>
      <c r="E18" s="3" t="s">
        <v>94</v>
      </c>
    </row>
    <row r="19" spans="1:5" x14ac:dyDescent="0.3">
      <c r="A19" s="8"/>
      <c r="B19" s="7"/>
      <c r="C19" s="2" t="s">
        <v>149</v>
      </c>
      <c r="D19" s="5">
        <v>300</v>
      </c>
      <c r="E19" s="3" t="s">
        <v>95</v>
      </c>
    </row>
    <row r="20" spans="1:5" x14ac:dyDescent="0.3">
      <c r="A20" s="8"/>
      <c r="B20" s="7"/>
      <c r="C20" s="2" t="s">
        <v>122</v>
      </c>
      <c r="D20" s="5">
        <v>1</v>
      </c>
      <c r="E20" s="3" t="s">
        <v>94</v>
      </c>
    </row>
    <row r="21" spans="1:5" x14ac:dyDescent="0.3">
      <c r="A21" s="8"/>
      <c r="B21" s="7"/>
      <c r="C21" s="2" t="s">
        <v>114</v>
      </c>
      <c r="D21" s="5">
        <v>1</v>
      </c>
      <c r="E21" s="3" t="s">
        <v>94</v>
      </c>
    </row>
    <row r="22" spans="1:5" x14ac:dyDescent="0.3">
      <c r="A22" s="8"/>
      <c r="B22" s="7"/>
      <c r="C22" s="2" t="s">
        <v>115</v>
      </c>
      <c r="D22" s="5">
        <v>1</v>
      </c>
      <c r="E22" s="3" t="s">
        <v>94</v>
      </c>
    </row>
    <row r="23" spans="1:5" x14ac:dyDescent="0.3">
      <c r="A23" s="8"/>
      <c r="B23" s="7"/>
      <c r="C23" s="2" t="s">
        <v>116</v>
      </c>
      <c r="D23" s="5">
        <v>1</v>
      </c>
      <c r="E23" s="3" t="s">
        <v>94</v>
      </c>
    </row>
    <row r="24" spans="1:5" x14ac:dyDescent="0.3">
      <c r="A24" s="8"/>
      <c r="B24" s="7"/>
      <c r="C24" s="2" t="s">
        <v>150</v>
      </c>
      <c r="D24" s="5">
        <v>100</v>
      </c>
      <c r="E24" s="3" t="s">
        <v>95</v>
      </c>
    </row>
    <row r="25" spans="1:5" x14ac:dyDescent="0.3">
      <c r="A25" s="8"/>
      <c r="B25" s="7"/>
      <c r="C25" s="2" t="s">
        <v>93</v>
      </c>
      <c r="D25" s="5">
        <v>30</v>
      </c>
      <c r="E25" s="3" t="s">
        <v>95</v>
      </c>
    </row>
    <row r="26" spans="1:5" x14ac:dyDescent="0.3">
      <c r="A26" s="8"/>
      <c r="B26" s="7"/>
      <c r="C26" s="2" t="s">
        <v>98</v>
      </c>
      <c r="D26" s="5">
        <v>350</v>
      </c>
      <c r="E26" s="3" t="s">
        <v>99</v>
      </c>
    </row>
    <row r="27" spans="1:5" x14ac:dyDescent="0.3">
      <c r="A27" s="8"/>
      <c r="B27" s="7"/>
      <c r="C27" s="2" t="s">
        <v>122</v>
      </c>
      <c r="D27" s="5">
        <v>2</v>
      </c>
      <c r="E27" s="3" t="s">
        <v>107</v>
      </c>
    </row>
    <row r="28" spans="1:5" x14ac:dyDescent="0.3">
      <c r="A28" s="8"/>
      <c r="B28" s="7"/>
      <c r="C28" s="2" t="s">
        <v>116</v>
      </c>
      <c r="D28" s="5">
        <v>1</v>
      </c>
      <c r="E28" s="3" t="s">
        <v>94</v>
      </c>
    </row>
    <row r="29" spans="1:5" x14ac:dyDescent="0.3">
      <c r="A29" s="8" t="s">
        <v>14</v>
      </c>
      <c r="B29" s="7">
        <v>254</v>
      </c>
      <c r="C29" s="2" t="s">
        <v>144</v>
      </c>
      <c r="D29" s="5">
        <v>4</v>
      </c>
      <c r="E29" s="3" t="s">
        <v>94</v>
      </c>
    </row>
    <row r="30" spans="1:5" x14ac:dyDescent="0.3">
      <c r="A30" s="8"/>
      <c r="B30" s="7"/>
      <c r="C30" s="2" t="s">
        <v>151</v>
      </c>
      <c r="D30" s="5">
        <v>150</v>
      </c>
      <c r="E30" s="3" t="s">
        <v>95</v>
      </c>
    </row>
    <row r="31" spans="1:5" x14ac:dyDescent="0.3">
      <c r="A31" s="8"/>
      <c r="B31" s="7"/>
      <c r="C31" s="2" t="s">
        <v>152</v>
      </c>
      <c r="D31" s="5">
        <v>150</v>
      </c>
      <c r="E31" s="3" t="s">
        <v>95</v>
      </c>
    </row>
    <row r="32" spans="1:5" x14ac:dyDescent="0.3">
      <c r="A32" s="8"/>
      <c r="B32" s="7"/>
      <c r="C32" s="2" t="s">
        <v>153</v>
      </c>
      <c r="D32" s="5">
        <v>5</v>
      </c>
      <c r="E32" s="3" t="s">
        <v>94</v>
      </c>
    </row>
    <row r="33" spans="1:5" x14ac:dyDescent="0.3">
      <c r="A33" s="8"/>
      <c r="B33" s="7"/>
      <c r="C33" s="2" t="s">
        <v>98</v>
      </c>
      <c r="D33" s="5">
        <v>150</v>
      </c>
      <c r="E33" s="3" t="s">
        <v>99</v>
      </c>
    </row>
    <row r="34" spans="1:5" x14ac:dyDescent="0.3">
      <c r="A34" s="8"/>
      <c r="B34" s="7"/>
      <c r="C34" s="2" t="s">
        <v>154</v>
      </c>
      <c r="D34" s="5">
        <v>1</v>
      </c>
      <c r="E34" s="3" t="s">
        <v>94</v>
      </c>
    </row>
    <row r="35" spans="1:5" x14ac:dyDescent="0.3">
      <c r="A35" s="8"/>
      <c r="B35" s="7"/>
      <c r="C35" s="2" t="s">
        <v>93</v>
      </c>
      <c r="D35" s="5">
        <v>1</v>
      </c>
      <c r="E35" s="3" t="s">
        <v>94</v>
      </c>
    </row>
    <row r="36" spans="1:5" x14ac:dyDescent="0.3">
      <c r="A36" s="8"/>
      <c r="B36" s="7"/>
      <c r="C36" s="2" t="s">
        <v>155</v>
      </c>
      <c r="D36" s="5">
        <v>250</v>
      </c>
      <c r="E36" s="3" t="s">
        <v>99</v>
      </c>
    </row>
    <row r="37" spans="1:5" x14ac:dyDescent="0.3">
      <c r="A37" s="8"/>
      <c r="B37" s="7"/>
      <c r="C37" s="2" t="s">
        <v>122</v>
      </c>
      <c r="D37" s="5">
        <v>1</v>
      </c>
      <c r="E37" s="3" t="s">
        <v>94</v>
      </c>
    </row>
    <row r="38" spans="1:5" x14ac:dyDescent="0.3">
      <c r="A38" s="8"/>
      <c r="B38" s="7"/>
      <c r="C38" s="2" t="s">
        <v>114</v>
      </c>
      <c r="D38" s="5">
        <v>1</v>
      </c>
      <c r="E38" s="3" t="s">
        <v>94</v>
      </c>
    </row>
    <row r="39" spans="1:5" x14ac:dyDescent="0.3">
      <c r="A39" s="8"/>
      <c r="B39" s="7"/>
      <c r="C39" s="2" t="s">
        <v>115</v>
      </c>
      <c r="D39" s="5">
        <v>1</v>
      </c>
      <c r="E39" s="3" t="s">
        <v>94</v>
      </c>
    </row>
    <row r="40" spans="1:5" x14ac:dyDescent="0.3">
      <c r="A40" s="8"/>
      <c r="B40" s="7"/>
      <c r="C40" s="2" t="s">
        <v>116</v>
      </c>
      <c r="D40" s="5">
        <v>1</v>
      </c>
      <c r="E40" s="3" t="s">
        <v>94</v>
      </c>
    </row>
    <row r="41" spans="1:5" x14ac:dyDescent="0.3">
      <c r="A41" s="8" t="s">
        <v>15</v>
      </c>
      <c r="B41" s="7">
        <v>255</v>
      </c>
      <c r="C41" s="2" t="s">
        <v>97</v>
      </c>
      <c r="D41" s="5">
        <v>2</v>
      </c>
      <c r="E41" s="3" t="s">
        <v>94</v>
      </c>
    </row>
    <row r="42" spans="1:5" x14ac:dyDescent="0.3">
      <c r="A42" s="8"/>
      <c r="B42" s="7"/>
      <c r="C42" s="2" t="s">
        <v>101</v>
      </c>
      <c r="D42" s="5">
        <v>2</v>
      </c>
      <c r="E42" s="3" t="s">
        <v>94</v>
      </c>
    </row>
    <row r="43" spans="1:5" x14ac:dyDescent="0.3">
      <c r="A43" s="8"/>
      <c r="B43" s="7"/>
      <c r="C43" s="2" t="s">
        <v>153</v>
      </c>
      <c r="D43" s="5">
        <v>2</v>
      </c>
      <c r="E43" s="3" t="s">
        <v>94</v>
      </c>
    </row>
    <row r="44" spans="1:5" x14ac:dyDescent="0.3">
      <c r="A44" s="8"/>
      <c r="B44" s="7"/>
      <c r="C44" s="2" t="s">
        <v>98</v>
      </c>
      <c r="D44" s="5">
        <v>100</v>
      </c>
      <c r="E44" s="3" t="s">
        <v>99</v>
      </c>
    </row>
    <row r="45" spans="1:5" x14ac:dyDescent="0.3">
      <c r="A45" s="8"/>
      <c r="B45" s="7"/>
      <c r="C45" s="2" t="s">
        <v>156</v>
      </c>
      <c r="D45" s="5">
        <v>100</v>
      </c>
      <c r="E45" s="3" t="s">
        <v>99</v>
      </c>
    </row>
    <row r="46" spans="1:5" x14ac:dyDescent="0.3">
      <c r="A46" s="8"/>
      <c r="B46" s="7"/>
      <c r="C46" s="2" t="s">
        <v>157</v>
      </c>
      <c r="D46" s="5">
        <v>100</v>
      </c>
      <c r="E46" s="3" t="s">
        <v>95</v>
      </c>
    </row>
    <row r="47" spans="1:5" x14ac:dyDescent="0.3">
      <c r="A47" s="8"/>
      <c r="B47" s="7"/>
      <c r="C47" s="2" t="s">
        <v>155</v>
      </c>
      <c r="D47" s="5">
        <v>250</v>
      </c>
      <c r="E47" s="3" t="s">
        <v>99</v>
      </c>
    </row>
    <row r="48" spans="1:5" x14ac:dyDescent="0.3">
      <c r="A48" s="8"/>
      <c r="B48" s="7"/>
      <c r="C48" s="2" t="s">
        <v>93</v>
      </c>
      <c r="D48" s="5">
        <v>2</v>
      </c>
      <c r="E48" s="3" t="s">
        <v>107</v>
      </c>
    </row>
    <row r="49" spans="1:5" x14ac:dyDescent="0.3">
      <c r="A49" s="8"/>
      <c r="B49" s="7"/>
      <c r="C49" s="2" t="s">
        <v>122</v>
      </c>
      <c r="D49" s="5">
        <v>1</v>
      </c>
      <c r="E49" s="3" t="s">
        <v>94</v>
      </c>
    </row>
    <row r="50" spans="1:5" x14ac:dyDescent="0.3">
      <c r="A50" s="8"/>
      <c r="B50" s="7"/>
      <c r="C50" s="2" t="s">
        <v>158</v>
      </c>
      <c r="D50" s="5">
        <v>1</v>
      </c>
      <c r="E50" s="3" t="s">
        <v>94</v>
      </c>
    </row>
    <row r="51" spans="1:5" x14ac:dyDescent="0.3">
      <c r="A51" s="8"/>
      <c r="B51" s="7"/>
      <c r="C51" s="2" t="s">
        <v>116</v>
      </c>
      <c r="D51" s="5">
        <v>1</v>
      </c>
      <c r="E51" s="3" t="s">
        <v>94</v>
      </c>
    </row>
    <row r="52" spans="1:5" x14ac:dyDescent="0.3">
      <c r="A52" s="8"/>
      <c r="B52" s="7"/>
      <c r="C52" s="2" t="s">
        <v>114</v>
      </c>
      <c r="D52" s="5">
        <v>1</v>
      </c>
      <c r="E52" s="3" t="s">
        <v>94</v>
      </c>
    </row>
  </sheetData>
  <mergeCells count="8">
    <mergeCell ref="A2:A14"/>
    <mergeCell ref="A15:A28"/>
    <mergeCell ref="A29:A40"/>
    <mergeCell ref="A41:A52"/>
    <mergeCell ref="B29:B40"/>
    <mergeCell ref="B15:B28"/>
    <mergeCell ref="B2:B14"/>
    <mergeCell ref="B41:B52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E8DD10C-80DE-491D-874D-D24702BBD892}">
          <x14:formula1>
            <xm:f>Otros!$B$3:$B$6</xm:f>
          </x14:formula1>
          <xm:sqref>E2:E52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D15C6-4F40-4CC7-AF4A-831B904CC20F}">
  <dimension ref="A1:E102"/>
  <sheetViews>
    <sheetView workbookViewId="0">
      <pane ySplit="1" topLeftCell="A72" activePane="bottomLeft" state="frozen"/>
      <selection activeCell="B2" sqref="B2:B28"/>
      <selection pane="bottomLeft" activeCell="C99" sqref="C99"/>
    </sheetView>
  </sheetViews>
  <sheetFormatPr baseColWidth="10" defaultRowHeight="14.4" x14ac:dyDescent="0.3"/>
  <cols>
    <col min="1" max="1" width="29.21875" style="9" bestFit="1" customWidth="1"/>
    <col min="2" max="2" width="10.33203125" style="10" customWidth="1"/>
    <col min="3" max="3" width="17.21875" style="10" bestFit="1" customWidth="1"/>
    <col min="4" max="4" width="10.109375" style="11" bestFit="1" customWidth="1"/>
    <col min="5" max="5" width="8.5546875" style="10" bestFit="1" customWidth="1"/>
    <col min="6" max="16384" width="11.5546875" style="12"/>
  </cols>
  <sheetData>
    <row r="1" spans="1:5" x14ac:dyDescent="0.3">
      <c r="A1" s="3" t="str">
        <f>Sopas!A1</f>
        <v>Plato</v>
      </c>
      <c r="B1" s="3" t="s">
        <v>225</v>
      </c>
      <c r="C1" s="3" t="str">
        <f>Sopas!C1</f>
        <v>Ingredientes</v>
      </c>
      <c r="D1" s="4" t="str">
        <f>Sopas!D1</f>
        <v>Cantidades</v>
      </c>
      <c r="E1" s="3" t="str">
        <f>Sopas!E1</f>
        <v>Unidades</v>
      </c>
    </row>
    <row r="2" spans="1:5" x14ac:dyDescent="0.3">
      <c r="A2" s="8" t="s">
        <v>16</v>
      </c>
      <c r="B2" s="7">
        <v>291</v>
      </c>
      <c r="C2" s="3" t="s">
        <v>159</v>
      </c>
      <c r="D2" s="4">
        <v>400</v>
      </c>
      <c r="E2" s="3" t="s">
        <v>95</v>
      </c>
    </row>
    <row r="3" spans="1:5" x14ac:dyDescent="0.3">
      <c r="A3" s="8"/>
      <c r="B3" s="7"/>
      <c r="C3" s="3" t="s">
        <v>160</v>
      </c>
      <c r="D3" s="4">
        <v>4</v>
      </c>
      <c r="E3" s="3" t="s">
        <v>95</v>
      </c>
    </row>
    <row r="4" spans="1:5" x14ac:dyDescent="0.3">
      <c r="A4" s="8"/>
      <c r="B4" s="7"/>
      <c r="C4" s="3" t="s">
        <v>131</v>
      </c>
      <c r="D4" s="4">
        <v>1</v>
      </c>
      <c r="E4" s="3" t="s">
        <v>94</v>
      </c>
    </row>
    <row r="5" spans="1:5" x14ac:dyDescent="0.3">
      <c r="A5" s="8"/>
      <c r="B5" s="7"/>
      <c r="C5" s="3" t="s">
        <v>101</v>
      </c>
      <c r="D5" s="4">
        <v>1</v>
      </c>
      <c r="E5" s="3" t="s">
        <v>94</v>
      </c>
    </row>
    <row r="6" spans="1:5" x14ac:dyDescent="0.3">
      <c r="A6" s="8"/>
      <c r="B6" s="7"/>
      <c r="C6" s="3" t="s">
        <v>122</v>
      </c>
      <c r="D6" s="4">
        <v>1</v>
      </c>
      <c r="E6" s="3" t="s">
        <v>94</v>
      </c>
    </row>
    <row r="7" spans="1:5" x14ac:dyDescent="0.3">
      <c r="A7" s="8"/>
      <c r="B7" s="7"/>
      <c r="C7" s="3" t="s">
        <v>161</v>
      </c>
      <c r="D7" s="4">
        <v>2</v>
      </c>
      <c r="E7" s="3" t="s">
        <v>94</v>
      </c>
    </row>
    <row r="8" spans="1:5" x14ac:dyDescent="0.3">
      <c r="A8" s="8"/>
      <c r="B8" s="7"/>
      <c r="C8" s="3" t="s">
        <v>114</v>
      </c>
      <c r="D8" s="4">
        <v>1</v>
      </c>
      <c r="E8" s="3" t="s">
        <v>94</v>
      </c>
    </row>
    <row r="9" spans="1:5" x14ac:dyDescent="0.3">
      <c r="A9" s="8"/>
      <c r="B9" s="7"/>
      <c r="C9" s="3" t="s">
        <v>116</v>
      </c>
      <c r="D9" s="4">
        <v>1</v>
      </c>
      <c r="E9" s="3" t="s">
        <v>94</v>
      </c>
    </row>
    <row r="10" spans="1:5" x14ac:dyDescent="0.3">
      <c r="A10" s="8" t="s">
        <v>17</v>
      </c>
      <c r="B10" s="7">
        <v>296</v>
      </c>
      <c r="C10" s="3" t="s">
        <v>162</v>
      </c>
      <c r="D10" s="4">
        <v>400</v>
      </c>
      <c r="E10" s="3" t="s">
        <v>95</v>
      </c>
    </row>
    <row r="11" spans="1:5" x14ac:dyDescent="0.3">
      <c r="A11" s="8"/>
      <c r="B11" s="7"/>
      <c r="C11" s="3" t="s">
        <v>163</v>
      </c>
      <c r="D11" s="4">
        <v>1</v>
      </c>
      <c r="E11" s="3" t="s">
        <v>94</v>
      </c>
    </row>
    <row r="12" spans="1:5" x14ac:dyDescent="0.3">
      <c r="A12" s="8"/>
      <c r="B12" s="7"/>
      <c r="C12" s="3" t="s">
        <v>126</v>
      </c>
      <c r="D12" s="4">
        <v>5</v>
      </c>
      <c r="E12" s="3" t="s">
        <v>94</v>
      </c>
    </row>
    <row r="13" spans="1:5" x14ac:dyDescent="0.3">
      <c r="A13" s="8"/>
      <c r="B13" s="7"/>
      <c r="C13" s="3" t="s">
        <v>101</v>
      </c>
      <c r="D13" s="4">
        <v>1</v>
      </c>
      <c r="E13" s="3" t="s">
        <v>94</v>
      </c>
    </row>
    <row r="14" spans="1:5" x14ac:dyDescent="0.3">
      <c r="A14" s="8"/>
      <c r="B14" s="7"/>
      <c r="C14" s="3" t="s">
        <v>108</v>
      </c>
      <c r="D14" s="4">
        <v>1</v>
      </c>
      <c r="E14" s="3" t="s">
        <v>94</v>
      </c>
    </row>
    <row r="15" spans="1:5" x14ac:dyDescent="0.3">
      <c r="A15" s="8"/>
      <c r="B15" s="7"/>
      <c r="C15" s="3" t="s">
        <v>155</v>
      </c>
      <c r="D15" s="4">
        <v>100</v>
      </c>
      <c r="E15" s="3" t="s">
        <v>99</v>
      </c>
    </row>
    <row r="16" spans="1:5" x14ac:dyDescent="0.3">
      <c r="A16" s="8"/>
      <c r="B16" s="7"/>
      <c r="C16" s="3" t="s">
        <v>164</v>
      </c>
      <c r="D16" s="4">
        <v>2</v>
      </c>
      <c r="E16" s="3" t="s">
        <v>94</v>
      </c>
    </row>
    <row r="17" spans="1:5" x14ac:dyDescent="0.3">
      <c r="A17" s="8"/>
      <c r="B17" s="7"/>
      <c r="C17" s="3" t="s">
        <v>152</v>
      </c>
      <c r="D17" s="4">
        <v>100</v>
      </c>
      <c r="E17" s="3" t="s">
        <v>95</v>
      </c>
    </row>
    <row r="18" spans="1:5" x14ac:dyDescent="0.3">
      <c r="A18" s="8"/>
      <c r="B18" s="7"/>
      <c r="C18" s="3" t="s">
        <v>165</v>
      </c>
      <c r="D18" s="4">
        <v>250</v>
      </c>
      <c r="E18" s="3" t="s">
        <v>95</v>
      </c>
    </row>
    <row r="19" spans="1:5" x14ac:dyDescent="0.3">
      <c r="A19" s="8"/>
      <c r="B19" s="7"/>
      <c r="C19" s="3" t="s">
        <v>144</v>
      </c>
      <c r="D19" s="4">
        <v>2</v>
      </c>
      <c r="E19" s="3" t="s">
        <v>94</v>
      </c>
    </row>
    <row r="20" spans="1:5" x14ac:dyDescent="0.3">
      <c r="A20" s="8"/>
      <c r="B20" s="7"/>
      <c r="C20" s="3" t="s">
        <v>122</v>
      </c>
      <c r="D20" s="4">
        <v>1</v>
      </c>
      <c r="E20" s="3" t="s">
        <v>94</v>
      </c>
    </row>
    <row r="21" spans="1:5" x14ac:dyDescent="0.3">
      <c r="A21" s="8"/>
      <c r="B21" s="7"/>
      <c r="C21" s="3" t="s">
        <v>161</v>
      </c>
      <c r="D21" s="4">
        <v>1</v>
      </c>
      <c r="E21" s="3" t="s">
        <v>94</v>
      </c>
    </row>
    <row r="22" spans="1:5" x14ac:dyDescent="0.3">
      <c r="A22" s="8"/>
      <c r="B22" s="7"/>
      <c r="C22" s="3" t="s">
        <v>114</v>
      </c>
      <c r="D22" s="4">
        <v>1</v>
      </c>
      <c r="E22" s="3" t="s">
        <v>94</v>
      </c>
    </row>
    <row r="23" spans="1:5" x14ac:dyDescent="0.3">
      <c r="A23" s="8"/>
      <c r="B23" s="7"/>
      <c r="C23" s="3" t="s">
        <v>166</v>
      </c>
      <c r="D23" s="4">
        <v>1</v>
      </c>
      <c r="E23" s="3" t="s">
        <v>107</v>
      </c>
    </row>
    <row r="24" spans="1:5" x14ac:dyDescent="0.3">
      <c r="A24" s="8"/>
      <c r="B24" s="7"/>
      <c r="C24" s="3" t="s">
        <v>123</v>
      </c>
      <c r="D24" s="4">
        <v>0.25</v>
      </c>
      <c r="E24" s="3" t="s">
        <v>107</v>
      </c>
    </row>
    <row r="25" spans="1:5" x14ac:dyDescent="0.3">
      <c r="A25" s="8"/>
      <c r="B25" s="7"/>
      <c r="C25" s="3" t="s">
        <v>116</v>
      </c>
      <c r="D25" s="4">
        <v>1</v>
      </c>
      <c r="E25" s="3" t="s">
        <v>94</v>
      </c>
    </row>
    <row r="26" spans="1:5" x14ac:dyDescent="0.3">
      <c r="A26" s="8" t="s">
        <v>18</v>
      </c>
      <c r="B26" s="7">
        <v>300</v>
      </c>
      <c r="C26" s="3" t="s">
        <v>167</v>
      </c>
      <c r="D26" s="4">
        <v>300</v>
      </c>
      <c r="E26" s="3" t="s">
        <v>95</v>
      </c>
    </row>
    <row r="27" spans="1:5" x14ac:dyDescent="0.3">
      <c r="A27" s="8"/>
      <c r="B27" s="7"/>
      <c r="C27" s="3" t="s">
        <v>164</v>
      </c>
      <c r="D27" s="4">
        <v>100</v>
      </c>
      <c r="E27" s="3" t="s">
        <v>95</v>
      </c>
    </row>
    <row r="28" spans="1:5" x14ac:dyDescent="0.3">
      <c r="A28" s="8"/>
      <c r="B28" s="7"/>
      <c r="C28" s="3" t="s">
        <v>152</v>
      </c>
      <c r="D28" s="4">
        <v>200</v>
      </c>
      <c r="E28" s="3" t="s">
        <v>95</v>
      </c>
    </row>
    <row r="29" spans="1:5" x14ac:dyDescent="0.3">
      <c r="A29" s="8"/>
      <c r="B29" s="7"/>
      <c r="C29" s="3" t="s">
        <v>101</v>
      </c>
      <c r="D29" s="4">
        <v>1</v>
      </c>
      <c r="E29" s="3" t="s">
        <v>94</v>
      </c>
    </row>
    <row r="30" spans="1:5" x14ac:dyDescent="0.3">
      <c r="A30" s="8"/>
      <c r="B30" s="7"/>
      <c r="C30" s="3" t="s">
        <v>120</v>
      </c>
      <c r="D30" s="4">
        <v>1</v>
      </c>
      <c r="E30" s="3" t="s">
        <v>94</v>
      </c>
    </row>
    <row r="31" spans="1:5" x14ac:dyDescent="0.3">
      <c r="A31" s="8"/>
      <c r="B31" s="7"/>
      <c r="C31" s="3" t="s">
        <v>131</v>
      </c>
      <c r="D31" s="4">
        <v>1</v>
      </c>
      <c r="E31" s="3" t="s">
        <v>94</v>
      </c>
    </row>
    <row r="32" spans="1:5" x14ac:dyDescent="0.3">
      <c r="A32" s="8"/>
      <c r="B32" s="7"/>
      <c r="C32" s="3" t="s">
        <v>122</v>
      </c>
      <c r="D32" s="4">
        <v>1</v>
      </c>
      <c r="E32" s="3" t="s">
        <v>94</v>
      </c>
    </row>
    <row r="33" spans="1:5" x14ac:dyDescent="0.3">
      <c r="A33" s="8"/>
      <c r="B33" s="7"/>
      <c r="C33" s="3" t="s">
        <v>114</v>
      </c>
      <c r="D33" s="4">
        <v>1</v>
      </c>
      <c r="E33" s="3" t="s">
        <v>94</v>
      </c>
    </row>
    <row r="34" spans="1:5" x14ac:dyDescent="0.3">
      <c r="A34" s="8"/>
      <c r="B34" s="7"/>
      <c r="C34" s="3" t="s">
        <v>166</v>
      </c>
      <c r="D34" s="4">
        <v>0.5</v>
      </c>
      <c r="E34" s="3" t="s">
        <v>107</v>
      </c>
    </row>
    <row r="35" spans="1:5" x14ac:dyDescent="0.3">
      <c r="A35" s="8"/>
      <c r="B35" s="7"/>
      <c r="C35" s="3" t="s">
        <v>116</v>
      </c>
      <c r="D35" s="4">
        <v>1</v>
      </c>
      <c r="E35" s="3" t="s">
        <v>94</v>
      </c>
    </row>
    <row r="36" spans="1:5" x14ac:dyDescent="0.3">
      <c r="A36" s="8" t="s">
        <v>19</v>
      </c>
      <c r="B36" s="7">
        <v>302</v>
      </c>
      <c r="C36" s="3" t="s">
        <v>168</v>
      </c>
      <c r="D36" s="4">
        <v>300</v>
      </c>
      <c r="E36" s="3" t="s">
        <v>95</v>
      </c>
    </row>
    <row r="37" spans="1:5" x14ac:dyDescent="0.3">
      <c r="A37" s="8"/>
      <c r="B37" s="7"/>
      <c r="C37" s="3" t="s">
        <v>152</v>
      </c>
      <c r="D37" s="4">
        <v>250</v>
      </c>
      <c r="E37" s="3" t="s">
        <v>95</v>
      </c>
    </row>
    <row r="38" spans="1:5" x14ac:dyDescent="0.3">
      <c r="A38" s="8"/>
      <c r="B38" s="7"/>
      <c r="C38" s="3" t="s">
        <v>101</v>
      </c>
      <c r="D38" s="4">
        <v>1</v>
      </c>
      <c r="E38" s="3" t="s">
        <v>94</v>
      </c>
    </row>
    <row r="39" spans="1:5" x14ac:dyDescent="0.3">
      <c r="A39" s="8"/>
      <c r="B39" s="7"/>
      <c r="C39" s="3" t="s">
        <v>131</v>
      </c>
      <c r="D39" s="4">
        <v>2</v>
      </c>
      <c r="E39" s="3" t="s">
        <v>94</v>
      </c>
    </row>
    <row r="40" spans="1:5" x14ac:dyDescent="0.3">
      <c r="A40" s="8"/>
      <c r="B40" s="7"/>
      <c r="C40" s="3" t="s">
        <v>120</v>
      </c>
      <c r="D40" s="4">
        <v>1</v>
      </c>
      <c r="E40" s="3" t="s">
        <v>94</v>
      </c>
    </row>
    <row r="41" spans="1:5" x14ac:dyDescent="0.3">
      <c r="A41" s="8"/>
      <c r="B41" s="7"/>
      <c r="C41" s="3" t="s">
        <v>118</v>
      </c>
      <c r="D41" s="4">
        <v>1</v>
      </c>
      <c r="E41" s="3" t="s">
        <v>94</v>
      </c>
    </row>
    <row r="42" spans="1:5" x14ac:dyDescent="0.3">
      <c r="A42" s="8"/>
      <c r="B42" s="7"/>
      <c r="C42" s="3" t="s">
        <v>169</v>
      </c>
      <c r="D42" s="4">
        <v>1</v>
      </c>
      <c r="E42" s="3" t="s">
        <v>94</v>
      </c>
    </row>
    <row r="43" spans="1:5" x14ac:dyDescent="0.3">
      <c r="A43" s="8"/>
      <c r="B43" s="7"/>
      <c r="C43" s="3" t="s">
        <v>122</v>
      </c>
      <c r="D43" s="4">
        <v>1</v>
      </c>
      <c r="E43" s="3" t="s">
        <v>94</v>
      </c>
    </row>
    <row r="44" spans="1:5" x14ac:dyDescent="0.3">
      <c r="A44" s="8"/>
      <c r="B44" s="7"/>
      <c r="C44" s="3" t="s">
        <v>114</v>
      </c>
      <c r="D44" s="4">
        <v>1</v>
      </c>
      <c r="E44" s="3" t="s">
        <v>94</v>
      </c>
    </row>
    <row r="45" spans="1:5" x14ac:dyDescent="0.3">
      <c r="A45" s="8"/>
      <c r="B45" s="7"/>
      <c r="C45" s="3" t="s">
        <v>116</v>
      </c>
      <c r="D45" s="4">
        <v>1</v>
      </c>
      <c r="E45" s="3" t="s">
        <v>94</v>
      </c>
    </row>
    <row r="46" spans="1:5" x14ac:dyDescent="0.3">
      <c r="A46" s="8" t="s">
        <v>20</v>
      </c>
      <c r="B46" s="7">
        <v>304</v>
      </c>
      <c r="C46" s="3" t="s">
        <v>168</v>
      </c>
      <c r="D46" s="4">
        <v>300</v>
      </c>
      <c r="E46" s="3" t="s">
        <v>95</v>
      </c>
    </row>
    <row r="47" spans="1:5" x14ac:dyDescent="0.3">
      <c r="A47" s="8"/>
      <c r="B47" s="7"/>
      <c r="C47" s="3" t="s">
        <v>164</v>
      </c>
      <c r="D47" s="4">
        <v>125</v>
      </c>
      <c r="E47" s="3" t="s">
        <v>95</v>
      </c>
    </row>
    <row r="48" spans="1:5" x14ac:dyDescent="0.3">
      <c r="A48" s="8"/>
      <c r="B48" s="7"/>
      <c r="C48" s="3" t="s">
        <v>170</v>
      </c>
      <c r="D48" s="4">
        <v>200</v>
      </c>
      <c r="E48" s="3" t="s">
        <v>95</v>
      </c>
    </row>
    <row r="49" spans="1:5" x14ac:dyDescent="0.3">
      <c r="A49" s="8"/>
      <c r="B49" s="7"/>
      <c r="C49" s="3" t="s">
        <v>101</v>
      </c>
      <c r="D49" s="4">
        <v>1</v>
      </c>
      <c r="E49" s="3" t="s">
        <v>94</v>
      </c>
    </row>
    <row r="50" spans="1:5" x14ac:dyDescent="0.3">
      <c r="A50" s="8"/>
      <c r="B50" s="7"/>
      <c r="C50" s="3" t="s">
        <v>126</v>
      </c>
      <c r="D50" s="4">
        <v>4</v>
      </c>
      <c r="E50" s="3" t="s">
        <v>94</v>
      </c>
    </row>
    <row r="51" spans="1:5" x14ac:dyDescent="0.3">
      <c r="A51" s="8"/>
      <c r="B51" s="7"/>
      <c r="C51" s="3" t="s">
        <v>122</v>
      </c>
      <c r="D51" s="4">
        <v>1</v>
      </c>
      <c r="E51" s="3" t="s">
        <v>94</v>
      </c>
    </row>
    <row r="52" spans="1:5" x14ac:dyDescent="0.3">
      <c r="A52" s="8"/>
      <c r="B52" s="7"/>
      <c r="C52" s="3" t="s">
        <v>114</v>
      </c>
      <c r="D52" s="4">
        <v>1</v>
      </c>
      <c r="E52" s="3" t="s">
        <v>94</v>
      </c>
    </row>
    <row r="53" spans="1:5" x14ac:dyDescent="0.3">
      <c r="A53" s="8"/>
      <c r="B53" s="7"/>
      <c r="C53" s="3" t="s">
        <v>166</v>
      </c>
      <c r="D53" s="4">
        <v>0.5</v>
      </c>
      <c r="E53" s="3" t="s">
        <v>107</v>
      </c>
    </row>
    <row r="54" spans="1:5" x14ac:dyDescent="0.3">
      <c r="A54" s="8" t="s">
        <v>171</v>
      </c>
      <c r="B54" s="7">
        <v>306</v>
      </c>
      <c r="C54" s="3" t="s">
        <v>127</v>
      </c>
      <c r="D54" s="4">
        <v>300</v>
      </c>
      <c r="E54" s="3" t="s">
        <v>95</v>
      </c>
    </row>
    <row r="55" spans="1:5" x14ac:dyDescent="0.3">
      <c r="A55" s="8"/>
      <c r="B55" s="7"/>
      <c r="C55" s="3" t="s">
        <v>152</v>
      </c>
      <c r="D55" s="4">
        <v>250</v>
      </c>
      <c r="E55" s="3" t="s">
        <v>95</v>
      </c>
    </row>
    <row r="56" spans="1:5" x14ac:dyDescent="0.3">
      <c r="A56" s="8"/>
      <c r="B56" s="7"/>
      <c r="C56" s="3" t="s">
        <v>126</v>
      </c>
      <c r="D56" s="4">
        <v>2</v>
      </c>
      <c r="E56" s="3" t="s">
        <v>94</v>
      </c>
    </row>
    <row r="57" spans="1:5" x14ac:dyDescent="0.3">
      <c r="A57" s="8"/>
      <c r="B57" s="7"/>
      <c r="C57" s="3" t="s">
        <v>101</v>
      </c>
      <c r="D57" s="4">
        <v>2</v>
      </c>
      <c r="E57" s="3" t="s">
        <v>94</v>
      </c>
    </row>
    <row r="58" spans="1:5" x14ac:dyDescent="0.3">
      <c r="A58" s="8"/>
      <c r="B58" s="7"/>
      <c r="C58" s="3" t="s">
        <v>122</v>
      </c>
      <c r="D58" s="4">
        <v>1</v>
      </c>
      <c r="E58" s="3" t="s">
        <v>94</v>
      </c>
    </row>
    <row r="59" spans="1:5" x14ac:dyDescent="0.3">
      <c r="A59" s="8"/>
      <c r="B59" s="7"/>
      <c r="C59" s="3" t="s">
        <v>114</v>
      </c>
      <c r="D59" s="4">
        <v>1</v>
      </c>
      <c r="E59" s="3" t="s">
        <v>94</v>
      </c>
    </row>
    <row r="60" spans="1:5" x14ac:dyDescent="0.3">
      <c r="A60" s="8"/>
      <c r="B60" s="7"/>
      <c r="C60" s="3" t="s">
        <v>115</v>
      </c>
      <c r="D60" s="4">
        <v>1</v>
      </c>
      <c r="E60" s="3" t="s">
        <v>94</v>
      </c>
    </row>
    <row r="61" spans="1:5" x14ac:dyDescent="0.3">
      <c r="A61" s="8"/>
      <c r="B61" s="7"/>
      <c r="C61" s="3" t="s">
        <v>116</v>
      </c>
      <c r="D61" s="4">
        <v>1</v>
      </c>
      <c r="E61" s="3" t="s">
        <v>94</v>
      </c>
    </row>
    <row r="62" spans="1:5" x14ac:dyDescent="0.3">
      <c r="A62" s="8" t="s">
        <v>21</v>
      </c>
      <c r="B62" s="7">
        <v>309</v>
      </c>
      <c r="C62" s="3" t="s">
        <v>167</v>
      </c>
      <c r="D62" s="4">
        <v>400</v>
      </c>
      <c r="E62" s="3" t="s">
        <v>95</v>
      </c>
    </row>
    <row r="63" spans="1:5" x14ac:dyDescent="0.3">
      <c r="A63" s="8"/>
      <c r="B63" s="7"/>
      <c r="C63" s="3" t="s">
        <v>120</v>
      </c>
      <c r="D63" s="4">
        <v>3</v>
      </c>
      <c r="E63" s="3" t="s">
        <v>94</v>
      </c>
    </row>
    <row r="64" spans="1:5" x14ac:dyDescent="0.3">
      <c r="A64" s="8"/>
      <c r="B64" s="7"/>
      <c r="C64" s="3" t="s">
        <v>101</v>
      </c>
      <c r="D64" s="4">
        <v>1</v>
      </c>
      <c r="E64" s="3" t="s">
        <v>94</v>
      </c>
    </row>
    <row r="65" spans="1:5" x14ac:dyDescent="0.3">
      <c r="A65" s="8"/>
      <c r="B65" s="7"/>
      <c r="C65" s="3" t="s">
        <v>131</v>
      </c>
      <c r="D65" s="4">
        <v>1</v>
      </c>
      <c r="E65" s="3" t="s">
        <v>94</v>
      </c>
    </row>
    <row r="66" spans="1:5" x14ac:dyDescent="0.3">
      <c r="A66" s="8"/>
      <c r="B66" s="7"/>
      <c r="C66" s="3" t="s">
        <v>118</v>
      </c>
      <c r="D66" s="4">
        <v>1</v>
      </c>
      <c r="E66" s="3" t="s">
        <v>94</v>
      </c>
    </row>
    <row r="67" spans="1:5" x14ac:dyDescent="0.3">
      <c r="A67" s="8"/>
      <c r="B67" s="7"/>
      <c r="C67" s="3" t="s">
        <v>126</v>
      </c>
      <c r="D67" s="4">
        <v>1</v>
      </c>
      <c r="E67" s="3" t="s">
        <v>94</v>
      </c>
    </row>
    <row r="68" spans="1:5" x14ac:dyDescent="0.3">
      <c r="A68" s="8"/>
      <c r="B68" s="7"/>
      <c r="C68" s="3" t="s">
        <v>122</v>
      </c>
      <c r="D68" s="4">
        <v>1</v>
      </c>
      <c r="E68" s="3" t="s">
        <v>94</v>
      </c>
    </row>
    <row r="69" spans="1:5" x14ac:dyDescent="0.3">
      <c r="A69" s="8"/>
      <c r="B69" s="7"/>
      <c r="C69" s="3" t="s">
        <v>114</v>
      </c>
      <c r="D69" s="4">
        <v>1</v>
      </c>
      <c r="E69" s="3" t="s">
        <v>94</v>
      </c>
    </row>
    <row r="70" spans="1:5" x14ac:dyDescent="0.3">
      <c r="A70" s="8"/>
      <c r="B70" s="7"/>
      <c r="C70" s="3" t="s">
        <v>161</v>
      </c>
      <c r="D70" s="4">
        <v>1</v>
      </c>
      <c r="E70" s="3" t="s">
        <v>94</v>
      </c>
    </row>
    <row r="71" spans="1:5" x14ac:dyDescent="0.3">
      <c r="A71" s="8"/>
      <c r="B71" s="7"/>
      <c r="C71" s="3" t="s">
        <v>172</v>
      </c>
      <c r="D71" s="4">
        <v>1</v>
      </c>
      <c r="E71" s="3" t="s">
        <v>107</v>
      </c>
    </row>
    <row r="72" spans="1:5" x14ac:dyDescent="0.3">
      <c r="A72" s="8"/>
      <c r="B72" s="7"/>
      <c r="C72" s="3" t="s">
        <v>116</v>
      </c>
      <c r="D72" s="4">
        <v>1</v>
      </c>
      <c r="E72" s="3" t="s">
        <v>94</v>
      </c>
    </row>
    <row r="73" spans="1:5" x14ac:dyDescent="0.3">
      <c r="A73" s="8" t="s">
        <v>22</v>
      </c>
      <c r="B73" s="7">
        <v>318</v>
      </c>
      <c r="C73" s="3" t="s">
        <v>127</v>
      </c>
      <c r="D73" s="4">
        <v>300</v>
      </c>
      <c r="E73" s="3" t="s">
        <v>95</v>
      </c>
    </row>
    <row r="74" spans="1:5" x14ac:dyDescent="0.3">
      <c r="A74" s="8"/>
      <c r="B74" s="7"/>
      <c r="C74" s="3" t="s">
        <v>173</v>
      </c>
      <c r="D74" s="4">
        <v>100</v>
      </c>
      <c r="E74" s="3" t="s">
        <v>95</v>
      </c>
    </row>
    <row r="75" spans="1:5" x14ac:dyDescent="0.3">
      <c r="A75" s="8"/>
      <c r="B75" s="7"/>
      <c r="C75" s="3" t="s">
        <v>174</v>
      </c>
      <c r="D75" s="4">
        <v>0.5</v>
      </c>
      <c r="E75" s="3" t="s">
        <v>94</v>
      </c>
    </row>
    <row r="76" spans="1:5" x14ac:dyDescent="0.3">
      <c r="A76" s="8"/>
      <c r="B76" s="7"/>
      <c r="C76" s="3" t="s">
        <v>126</v>
      </c>
      <c r="D76" s="4">
        <v>1</v>
      </c>
      <c r="E76" s="3" t="s">
        <v>94</v>
      </c>
    </row>
    <row r="77" spans="1:5" x14ac:dyDescent="0.3">
      <c r="A77" s="8"/>
      <c r="B77" s="7"/>
      <c r="C77" s="3" t="s">
        <v>122</v>
      </c>
      <c r="D77" s="4">
        <v>1</v>
      </c>
      <c r="E77" s="3" t="s">
        <v>94</v>
      </c>
    </row>
    <row r="78" spans="1:5" x14ac:dyDescent="0.3">
      <c r="A78" s="8"/>
      <c r="B78" s="7"/>
      <c r="C78" s="3" t="s">
        <v>114</v>
      </c>
      <c r="D78" s="4">
        <v>1</v>
      </c>
      <c r="E78" s="3" t="s">
        <v>94</v>
      </c>
    </row>
    <row r="79" spans="1:5" x14ac:dyDescent="0.3">
      <c r="A79" s="8"/>
      <c r="B79" s="7"/>
      <c r="C79" s="3" t="s">
        <v>141</v>
      </c>
      <c r="D79" s="4">
        <v>1</v>
      </c>
      <c r="E79" s="3" t="s">
        <v>94</v>
      </c>
    </row>
    <row r="80" spans="1:5" x14ac:dyDescent="0.3">
      <c r="A80" s="8"/>
      <c r="B80" s="7"/>
      <c r="C80" s="3" t="s">
        <v>123</v>
      </c>
      <c r="D80" s="4">
        <v>1</v>
      </c>
      <c r="E80" s="3" t="s">
        <v>94</v>
      </c>
    </row>
    <row r="81" spans="1:5" x14ac:dyDescent="0.3">
      <c r="A81" s="8"/>
      <c r="B81" s="7"/>
      <c r="C81" s="3" t="s">
        <v>115</v>
      </c>
      <c r="D81" s="4">
        <v>0.5</v>
      </c>
      <c r="E81" s="3" t="s">
        <v>94</v>
      </c>
    </row>
    <row r="82" spans="1:5" x14ac:dyDescent="0.3">
      <c r="A82" s="8"/>
      <c r="B82" s="7"/>
      <c r="C82" s="3" t="s">
        <v>175</v>
      </c>
      <c r="D82" s="4">
        <v>1</v>
      </c>
      <c r="E82" s="3" t="s">
        <v>94</v>
      </c>
    </row>
    <row r="83" spans="1:5" x14ac:dyDescent="0.3">
      <c r="A83" s="8"/>
      <c r="B83" s="7"/>
      <c r="C83" s="3" t="s">
        <v>126</v>
      </c>
      <c r="D83" s="4">
        <v>1</v>
      </c>
      <c r="E83" s="3" t="s">
        <v>94</v>
      </c>
    </row>
    <row r="84" spans="1:5" x14ac:dyDescent="0.3">
      <c r="A84" s="8"/>
      <c r="B84" s="7"/>
      <c r="C84" s="3" t="s">
        <v>92</v>
      </c>
      <c r="D84" s="4">
        <v>0.5</v>
      </c>
      <c r="E84" s="3" t="s">
        <v>94</v>
      </c>
    </row>
    <row r="85" spans="1:5" x14ac:dyDescent="0.3">
      <c r="A85" s="8"/>
      <c r="B85" s="7"/>
      <c r="C85" s="3" t="s">
        <v>176</v>
      </c>
      <c r="D85" s="4">
        <v>1</v>
      </c>
      <c r="E85" s="3" t="s">
        <v>94</v>
      </c>
    </row>
    <row r="86" spans="1:5" x14ac:dyDescent="0.3">
      <c r="A86" s="8"/>
      <c r="B86" s="7"/>
      <c r="C86" s="3" t="s">
        <v>114</v>
      </c>
      <c r="D86" s="4">
        <v>1</v>
      </c>
      <c r="E86" s="3" t="s">
        <v>94</v>
      </c>
    </row>
    <row r="87" spans="1:5" x14ac:dyDescent="0.3">
      <c r="A87" s="8"/>
      <c r="B87" s="7"/>
      <c r="C87" s="3" t="s">
        <v>142</v>
      </c>
      <c r="D87" s="4">
        <v>0.25</v>
      </c>
      <c r="E87" s="3" t="s">
        <v>107</v>
      </c>
    </row>
    <row r="88" spans="1:5" x14ac:dyDescent="0.3">
      <c r="A88" s="8"/>
      <c r="B88" s="7"/>
      <c r="C88" s="3" t="s">
        <v>116</v>
      </c>
      <c r="D88" s="4">
        <v>1</v>
      </c>
      <c r="E88" s="3" t="s">
        <v>94</v>
      </c>
    </row>
    <row r="89" spans="1:5" x14ac:dyDescent="0.3">
      <c r="A89" s="8" t="s">
        <v>56</v>
      </c>
      <c r="B89" s="7">
        <v>448</v>
      </c>
      <c r="C89" s="3" t="s">
        <v>127</v>
      </c>
      <c r="D89" s="4">
        <v>250</v>
      </c>
      <c r="E89" s="3" t="s">
        <v>95</v>
      </c>
    </row>
    <row r="90" spans="1:5" x14ac:dyDescent="0.3">
      <c r="A90" s="8"/>
      <c r="B90" s="7"/>
      <c r="C90" s="3" t="s">
        <v>189</v>
      </c>
      <c r="D90" s="4">
        <v>300</v>
      </c>
      <c r="E90" s="3" t="s">
        <v>95</v>
      </c>
    </row>
    <row r="91" spans="1:5" x14ac:dyDescent="0.3">
      <c r="A91" s="8"/>
      <c r="B91" s="7"/>
      <c r="C91" s="3" t="s">
        <v>100</v>
      </c>
      <c r="D91" s="4">
        <v>200</v>
      </c>
      <c r="E91" s="3" t="s">
        <v>95</v>
      </c>
    </row>
    <row r="92" spans="1:5" x14ac:dyDescent="0.3">
      <c r="A92" s="8"/>
      <c r="B92" s="7"/>
      <c r="C92" s="3" t="s">
        <v>190</v>
      </c>
      <c r="D92" s="4">
        <v>1</v>
      </c>
      <c r="E92" s="3" t="s">
        <v>94</v>
      </c>
    </row>
    <row r="93" spans="1:5" x14ac:dyDescent="0.3">
      <c r="A93" s="8"/>
      <c r="B93" s="7"/>
      <c r="C93" s="3" t="s">
        <v>126</v>
      </c>
      <c r="D93" s="4">
        <v>4</v>
      </c>
      <c r="E93" s="3" t="s">
        <v>94</v>
      </c>
    </row>
    <row r="94" spans="1:5" x14ac:dyDescent="0.3">
      <c r="A94" s="8"/>
      <c r="B94" s="7"/>
      <c r="C94" s="3" t="s">
        <v>101</v>
      </c>
      <c r="D94" s="4">
        <v>2</v>
      </c>
      <c r="E94" s="3" t="s">
        <v>94</v>
      </c>
    </row>
    <row r="95" spans="1:5" x14ac:dyDescent="0.3">
      <c r="A95" s="8"/>
      <c r="B95" s="7"/>
      <c r="C95" s="3" t="s">
        <v>145</v>
      </c>
      <c r="D95" s="4">
        <v>75</v>
      </c>
      <c r="E95" s="3" t="s">
        <v>99</v>
      </c>
    </row>
    <row r="96" spans="1:5" x14ac:dyDescent="0.3">
      <c r="A96" s="8"/>
      <c r="B96" s="7"/>
      <c r="C96" s="3" t="s">
        <v>155</v>
      </c>
      <c r="D96" s="4">
        <v>100</v>
      </c>
      <c r="E96" s="3" t="s">
        <v>99</v>
      </c>
    </row>
    <row r="97" spans="1:5" x14ac:dyDescent="0.3">
      <c r="A97" s="8"/>
      <c r="B97" s="7"/>
      <c r="C97" s="3" t="s">
        <v>122</v>
      </c>
      <c r="D97" s="4">
        <v>1</v>
      </c>
      <c r="E97" s="3" t="s">
        <v>94</v>
      </c>
    </row>
    <row r="98" spans="1:5" x14ac:dyDescent="0.3">
      <c r="A98" s="8"/>
      <c r="B98" s="7"/>
      <c r="C98" s="3" t="s">
        <v>161</v>
      </c>
      <c r="D98" s="4">
        <v>1</v>
      </c>
      <c r="E98" s="3" t="s">
        <v>94</v>
      </c>
    </row>
    <row r="99" spans="1:5" x14ac:dyDescent="0.3">
      <c r="A99" s="8"/>
      <c r="B99" s="7"/>
      <c r="C99" s="3" t="s">
        <v>114</v>
      </c>
      <c r="D99" s="4">
        <v>1</v>
      </c>
      <c r="E99" s="3" t="s">
        <v>94</v>
      </c>
    </row>
    <row r="100" spans="1:5" x14ac:dyDescent="0.3">
      <c r="E100" s="14"/>
    </row>
    <row r="101" spans="1:5" x14ac:dyDescent="0.3">
      <c r="E101" s="14"/>
    </row>
    <row r="102" spans="1:5" x14ac:dyDescent="0.3">
      <c r="E102" s="14"/>
    </row>
  </sheetData>
  <mergeCells count="18">
    <mergeCell ref="A89:A99"/>
    <mergeCell ref="A62:A72"/>
    <mergeCell ref="A73:A88"/>
    <mergeCell ref="A2:A9"/>
    <mergeCell ref="A10:A25"/>
    <mergeCell ref="A26:A35"/>
    <mergeCell ref="A36:A45"/>
    <mergeCell ref="A46:A53"/>
    <mergeCell ref="A54:A61"/>
    <mergeCell ref="B62:B72"/>
    <mergeCell ref="B73:B88"/>
    <mergeCell ref="B89:B99"/>
    <mergeCell ref="B26:B35"/>
    <mergeCell ref="B2:B9"/>
    <mergeCell ref="B10:B25"/>
    <mergeCell ref="B36:B45"/>
    <mergeCell ref="B46:B53"/>
    <mergeCell ref="B54:B61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889F8-4642-466A-9F3B-765C52F8A662}">
          <x14:formula1>
            <xm:f>Otros!$B$3:$B$6</xm:f>
          </x14:formula1>
          <xm:sqref>E2:E99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1E0CA-D5E3-4A44-BE02-EA3F8BE5B234}">
  <dimension ref="A1:E44"/>
  <sheetViews>
    <sheetView workbookViewId="0">
      <pane ySplit="1" topLeftCell="A2" activePane="bottomLeft" state="frozen"/>
      <selection activeCell="B2" sqref="B2:B28"/>
      <selection pane="bottomLeft" activeCell="B2" sqref="B2:B33"/>
    </sheetView>
  </sheetViews>
  <sheetFormatPr baseColWidth="10" defaultRowHeight="14.4" x14ac:dyDescent="0.3"/>
  <cols>
    <col min="1" max="1" width="28.77734375" style="9" bestFit="1" customWidth="1"/>
    <col min="2" max="2" width="10.33203125" style="10" customWidth="1"/>
    <col min="3" max="3" width="16.6640625" style="10" bestFit="1" customWidth="1"/>
    <col min="4" max="4" width="11.5546875" style="15"/>
    <col min="5" max="5" width="11.5546875" style="10"/>
    <col min="6" max="16384" width="11.5546875" style="12"/>
  </cols>
  <sheetData>
    <row r="1" spans="1:5" x14ac:dyDescent="0.3">
      <c r="A1" s="3" t="str">
        <f>Sopas!A1</f>
        <v>Plato</v>
      </c>
      <c r="B1" s="3" t="s">
        <v>225</v>
      </c>
      <c r="C1" s="3" t="str">
        <f>Sopas!C1</f>
        <v>Ingredientes</v>
      </c>
      <c r="D1" s="6" t="str">
        <f>Sopas!D1</f>
        <v>Cantidades</v>
      </c>
      <c r="E1" s="3" t="str">
        <f>Sopas!E1</f>
        <v>Unidades</v>
      </c>
    </row>
    <row r="2" spans="1:5" x14ac:dyDescent="0.3">
      <c r="A2" s="8" t="s">
        <v>23</v>
      </c>
      <c r="B2" s="7">
        <v>326</v>
      </c>
      <c r="C2" s="3" t="s">
        <v>177</v>
      </c>
      <c r="D2" s="6">
        <v>8</v>
      </c>
      <c r="E2" s="3" t="s">
        <v>94</v>
      </c>
    </row>
    <row r="3" spans="1:5" x14ac:dyDescent="0.3">
      <c r="A3" s="8"/>
      <c r="B3" s="7"/>
      <c r="C3" s="3" t="s">
        <v>178</v>
      </c>
      <c r="D3" s="6">
        <v>600</v>
      </c>
      <c r="E3" s="3" t="s">
        <v>95</v>
      </c>
    </row>
    <row r="4" spans="1:5" x14ac:dyDescent="0.3">
      <c r="A4" s="8"/>
      <c r="B4" s="7"/>
      <c r="C4" s="3" t="s">
        <v>101</v>
      </c>
      <c r="D4" s="6">
        <v>0.5</v>
      </c>
      <c r="E4" s="3" t="s">
        <v>94</v>
      </c>
    </row>
    <row r="5" spans="1:5" x14ac:dyDescent="0.3">
      <c r="A5" s="8"/>
      <c r="B5" s="7"/>
      <c r="C5" s="3" t="s">
        <v>153</v>
      </c>
      <c r="D5" s="6">
        <v>2</v>
      </c>
      <c r="E5" s="3" t="s">
        <v>94</v>
      </c>
    </row>
    <row r="6" spans="1:5" x14ac:dyDescent="0.3">
      <c r="A6" s="8"/>
      <c r="B6" s="7"/>
      <c r="C6" s="3" t="s">
        <v>146</v>
      </c>
      <c r="D6" s="6">
        <v>1</v>
      </c>
      <c r="E6" s="3" t="s">
        <v>94</v>
      </c>
    </row>
    <row r="7" spans="1:5" x14ac:dyDescent="0.3">
      <c r="A7" s="8"/>
      <c r="B7" s="7"/>
      <c r="C7" s="3" t="s">
        <v>117</v>
      </c>
      <c r="D7" s="6">
        <v>1</v>
      </c>
      <c r="E7" s="3" t="s">
        <v>94</v>
      </c>
    </row>
    <row r="8" spans="1:5" x14ac:dyDescent="0.3">
      <c r="A8" s="8"/>
      <c r="B8" s="7"/>
      <c r="C8" s="3" t="s">
        <v>179</v>
      </c>
      <c r="D8" s="6">
        <v>2</v>
      </c>
      <c r="E8" s="3" t="s">
        <v>107</v>
      </c>
    </row>
    <row r="9" spans="1:5" x14ac:dyDescent="0.3">
      <c r="A9" s="8"/>
      <c r="B9" s="7"/>
      <c r="C9" s="3" t="s">
        <v>180</v>
      </c>
      <c r="D9" s="6">
        <v>15</v>
      </c>
      <c r="E9" s="3" t="s">
        <v>95</v>
      </c>
    </row>
    <row r="10" spans="1:5" x14ac:dyDescent="0.3">
      <c r="A10" s="8"/>
      <c r="B10" s="7"/>
      <c r="C10" s="3" t="s">
        <v>181</v>
      </c>
      <c r="D10" s="6">
        <v>1</v>
      </c>
      <c r="E10" s="3" t="s">
        <v>94</v>
      </c>
    </row>
    <row r="11" spans="1:5" x14ac:dyDescent="0.3">
      <c r="A11" s="8"/>
      <c r="B11" s="7"/>
      <c r="C11" s="3" t="s">
        <v>182</v>
      </c>
      <c r="D11" s="6">
        <v>1</v>
      </c>
      <c r="E11" s="3" t="s">
        <v>94</v>
      </c>
    </row>
    <row r="12" spans="1:5" x14ac:dyDescent="0.3">
      <c r="A12" s="8"/>
      <c r="B12" s="7"/>
      <c r="C12" s="3" t="s">
        <v>121</v>
      </c>
      <c r="D12" s="6">
        <v>1</v>
      </c>
      <c r="E12" s="3" t="s">
        <v>94</v>
      </c>
    </row>
    <row r="13" spans="1:5" x14ac:dyDescent="0.3">
      <c r="A13" s="8"/>
      <c r="B13" s="7"/>
      <c r="C13" s="3" t="s">
        <v>114</v>
      </c>
      <c r="D13" s="6">
        <v>1</v>
      </c>
      <c r="E13" s="3" t="s">
        <v>94</v>
      </c>
    </row>
    <row r="14" spans="1:5" x14ac:dyDescent="0.3">
      <c r="A14" s="8"/>
      <c r="B14" s="7"/>
      <c r="C14" s="3" t="s">
        <v>115</v>
      </c>
      <c r="D14" s="6">
        <v>1</v>
      </c>
      <c r="E14" s="3" t="s">
        <v>94</v>
      </c>
    </row>
    <row r="15" spans="1:5" x14ac:dyDescent="0.3">
      <c r="A15" s="8"/>
      <c r="B15" s="7"/>
      <c r="C15" s="3" t="s">
        <v>116</v>
      </c>
      <c r="D15" s="6">
        <v>1</v>
      </c>
      <c r="E15" s="3" t="s">
        <v>94</v>
      </c>
    </row>
    <row r="16" spans="1:5" x14ac:dyDescent="0.3">
      <c r="A16" s="8" t="s">
        <v>24</v>
      </c>
      <c r="B16" s="7">
        <v>329</v>
      </c>
      <c r="C16" s="3" t="s">
        <v>153</v>
      </c>
      <c r="D16" s="6">
        <v>8</v>
      </c>
      <c r="E16" s="3" t="s">
        <v>94</v>
      </c>
    </row>
    <row r="17" spans="1:5" x14ac:dyDescent="0.3">
      <c r="A17" s="8"/>
      <c r="B17" s="7"/>
      <c r="C17" s="3" t="s">
        <v>183</v>
      </c>
      <c r="D17" s="6">
        <v>8</v>
      </c>
      <c r="E17" s="3" t="s">
        <v>94</v>
      </c>
    </row>
    <row r="18" spans="1:5" x14ac:dyDescent="0.3">
      <c r="A18" s="8"/>
      <c r="B18" s="7"/>
      <c r="C18" s="3" t="s">
        <v>126</v>
      </c>
      <c r="D18" s="6">
        <v>2</v>
      </c>
      <c r="E18" s="3" t="s">
        <v>94</v>
      </c>
    </row>
    <row r="19" spans="1:5" x14ac:dyDescent="0.3">
      <c r="A19" s="8"/>
      <c r="B19" s="7"/>
      <c r="C19" s="3" t="s">
        <v>101</v>
      </c>
      <c r="D19" s="6">
        <v>2</v>
      </c>
      <c r="E19" s="3" t="s">
        <v>94</v>
      </c>
    </row>
    <row r="20" spans="1:5" x14ac:dyDescent="0.3">
      <c r="A20" s="8"/>
      <c r="B20" s="7"/>
      <c r="C20" s="3" t="s">
        <v>108</v>
      </c>
      <c r="D20" s="6">
        <v>2</v>
      </c>
      <c r="E20" s="3" t="s">
        <v>94</v>
      </c>
    </row>
    <row r="21" spans="1:5" x14ac:dyDescent="0.3">
      <c r="A21" s="8"/>
      <c r="B21" s="7"/>
      <c r="C21" s="3" t="s">
        <v>184</v>
      </c>
      <c r="D21" s="6">
        <v>200</v>
      </c>
      <c r="E21" s="3" t="s">
        <v>95</v>
      </c>
    </row>
    <row r="22" spans="1:5" x14ac:dyDescent="0.3">
      <c r="A22" s="8"/>
      <c r="B22" s="7"/>
      <c r="C22" s="3" t="s">
        <v>122</v>
      </c>
      <c r="D22" s="6">
        <v>1</v>
      </c>
      <c r="E22" s="3" t="s">
        <v>94</v>
      </c>
    </row>
    <row r="23" spans="1:5" x14ac:dyDescent="0.3">
      <c r="A23" s="8"/>
      <c r="B23" s="7"/>
      <c r="C23" s="3" t="s">
        <v>114</v>
      </c>
      <c r="D23" s="6">
        <v>1</v>
      </c>
      <c r="E23" s="3" t="s">
        <v>94</v>
      </c>
    </row>
    <row r="24" spans="1:5" x14ac:dyDescent="0.3">
      <c r="A24" s="8"/>
      <c r="B24" s="7"/>
      <c r="C24" s="3" t="s">
        <v>116</v>
      </c>
      <c r="D24" s="6">
        <v>1</v>
      </c>
      <c r="E24" s="3" t="s">
        <v>94</v>
      </c>
    </row>
    <row r="25" spans="1:5" x14ac:dyDescent="0.3">
      <c r="A25" s="8" t="s">
        <v>25</v>
      </c>
      <c r="B25" s="7">
        <v>334</v>
      </c>
      <c r="C25" s="3" t="s">
        <v>153</v>
      </c>
      <c r="D25" s="6">
        <v>8</v>
      </c>
      <c r="E25" s="3" t="s">
        <v>94</v>
      </c>
    </row>
    <row r="26" spans="1:5" x14ac:dyDescent="0.3">
      <c r="A26" s="8"/>
      <c r="B26" s="7"/>
      <c r="C26" s="3" t="s">
        <v>185</v>
      </c>
      <c r="D26" s="6">
        <v>250</v>
      </c>
      <c r="E26" s="3" t="s">
        <v>95</v>
      </c>
    </row>
    <row r="27" spans="1:5" x14ac:dyDescent="0.3">
      <c r="A27" s="8"/>
      <c r="B27" s="7"/>
      <c r="C27" s="3" t="s">
        <v>186</v>
      </c>
      <c r="D27" s="6">
        <v>8</v>
      </c>
      <c r="E27" s="3" t="s">
        <v>94</v>
      </c>
    </row>
    <row r="28" spans="1:5" x14ac:dyDescent="0.3">
      <c r="A28" s="8"/>
      <c r="B28" s="7"/>
      <c r="C28" s="3" t="s">
        <v>126</v>
      </c>
      <c r="D28" s="6">
        <v>1</v>
      </c>
      <c r="E28" s="3" t="s">
        <v>94</v>
      </c>
    </row>
    <row r="29" spans="1:5" x14ac:dyDescent="0.3">
      <c r="A29" s="8"/>
      <c r="B29" s="7"/>
      <c r="C29" s="3" t="s">
        <v>101</v>
      </c>
      <c r="D29" s="6">
        <v>1</v>
      </c>
      <c r="E29" s="3" t="s">
        <v>94</v>
      </c>
    </row>
    <row r="30" spans="1:5" x14ac:dyDescent="0.3">
      <c r="A30" s="8"/>
      <c r="B30" s="7"/>
      <c r="C30" s="3" t="s">
        <v>108</v>
      </c>
      <c r="D30" s="6">
        <v>4</v>
      </c>
      <c r="E30" s="3" t="s">
        <v>94</v>
      </c>
    </row>
    <row r="31" spans="1:5" x14ac:dyDescent="0.3">
      <c r="A31" s="8"/>
      <c r="B31" s="7"/>
      <c r="C31" s="3" t="s">
        <v>122</v>
      </c>
      <c r="D31" s="6">
        <v>1</v>
      </c>
      <c r="E31" s="3" t="s">
        <v>94</v>
      </c>
    </row>
    <row r="32" spans="1:5" x14ac:dyDescent="0.3">
      <c r="A32" s="8"/>
      <c r="B32" s="7"/>
      <c r="C32" s="3" t="s">
        <v>114</v>
      </c>
      <c r="D32" s="6">
        <v>1</v>
      </c>
      <c r="E32" s="3" t="s">
        <v>94</v>
      </c>
    </row>
    <row r="33" spans="1:5" x14ac:dyDescent="0.3">
      <c r="A33" s="8"/>
      <c r="B33" s="7"/>
      <c r="C33" s="3" t="s">
        <v>116</v>
      </c>
      <c r="D33" s="6">
        <v>1</v>
      </c>
      <c r="E33" s="3" t="s">
        <v>94</v>
      </c>
    </row>
    <row r="34" spans="1:5" x14ac:dyDescent="0.3">
      <c r="A34" s="8" t="s">
        <v>26</v>
      </c>
      <c r="B34" s="7">
        <v>340</v>
      </c>
      <c r="C34" s="3" t="s">
        <v>153</v>
      </c>
      <c r="D34" s="6">
        <v>8</v>
      </c>
      <c r="E34" s="3" t="s">
        <v>94</v>
      </c>
    </row>
    <row r="35" spans="1:5" x14ac:dyDescent="0.3">
      <c r="A35" s="8"/>
      <c r="B35" s="7"/>
      <c r="C35" s="3" t="s">
        <v>187</v>
      </c>
      <c r="D35" s="6">
        <v>100</v>
      </c>
      <c r="E35" s="3" t="s">
        <v>95</v>
      </c>
    </row>
    <row r="36" spans="1:5" x14ac:dyDescent="0.3">
      <c r="A36" s="8"/>
      <c r="B36" s="7"/>
      <c r="C36" s="3" t="s">
        <v>126</v>
      </c>
      <c r="D36" s="6">
        <v>2</v>
      </c>
      <c r="E36" s="3" t="s">
        <v>94</v>
      </c>
    </row>
    <row r="37" spans="1:5" x14ac:dyDescent="0.3">
      <c r="A37" s="8"/>
      <c r="B37" s="7"/>
      <c r="C37" s="3" t="s">
        <v>100</v>
      </c>
      <c r="D37" s="6">
        <v>100</v>
      </c>
      <c r="E37" s="3" t="s">
        <v>95</v>
      </c>
    </row>
    <row r="38" spans="1:5" x14ac:dyDescent="0.3">
      <c r="A38" s="8"/>
      <c r="B38" s="7"/>
      <c r="C38" s="3" t="s">
        <v>93</v>
      </c>
      <c r="D38" s="6">
        <v>1</v>
      </c>
      <c r="E38" s="3" t="s">
        <v>107</v>
      </c>
    </row>
    <row r="39" spans="1:5" x14ac:dyDescent="0.3">
      <c r="A39" s="8"/>
      <c r="B39" s="7"/>
      <c r="C39" s="3" t="s">
        <v>188</v>
      </c>
      <c r="D39" s="6">
        <v>300</v>
      </c>
      <c r="E39" s="3" t="s">
        <v>99</v>
      </c>
    </row>
    <row r="40" spans="1:5" x14ac:dyDescent="0.3">
      <c r="A40" s="8"/>
      <c r="B40" s="7"/>
      <c r="C40" s="3" t="s">
        <v>183</v>
      </c>
      <c r="D40" s="6">
        <v>4</v>
      </c>
      <c r="E40" s="3" t="s">
        <v>94</v>
      </c>
    </row>
    <row r="41" spans="1:5" x14ac:dyDescent="0.3">
      <c r="A41" s="8"/>
      <c r="B41" s="7"/>
      <c r="C41" s="3" t="s">
        <v>122</v>
      </c>
      <c r="D41" s="6">
        <v>1</v>
      </c>
      <c r="E41" s="3" t="s">
        <v>94</v>
      </c>
    </row>
    <row r="42" spans="1:5" x14ac:dyDescent="0.3">
      <c r="A42" s="8"/>
      <c r="B42" s="7"/>
      <c r="C42" s="3" t="s">
        <v>114</v>
      </c>
      <c r="D42" s="6">
        <v>1</v>
      </c>
      <c r="E42" s="3" t="s">
        <v>94</v>
      </c>
    </row>
    <row r="43" spans="1:5" x14ac:dyDescent="0.3">
      <c r="A43" s="8"/>
      <c r="B43" s="7"/>
      <c r="C43" s="3" t="s">
        <v>166</v>
      </c>
      <c r="D43" s="6">
        <v>0.5</v>
      </c>
      <c r="E43" s="3" t="s">
        <v>107</v>
      </c>
    </row>
    <row r="44" spans="1:5" x14ac:dyDescent="0.3">
      <c r="A44" s="8"/>
      <c r="B44" s="7"/>
      <c r="C44" s="3" t="s">
        <v>116</v>
      </c>
      <c r="D44" s="6">
        <v>1</v>
      </c>
      <c r="E44" s="3" t="s">
        <v>94</v>
      </c>
    </row>
  </sheetData>
  <mergeCells count="8">
    <mergeCell ref="A2:A15"/>
    <mergeCell ref="A16:A24"/>
    <mergeCell ref="A25:A33"/>
    <mergeCell ref="A34:A44"/>
    <mergeCell ref="B34:B44"/>
    <mergeCell ref="B25:B33"/>
    <mergeCell ref="B16:B24"/>
    <mergeCell ref="B2:B15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732FEB0-1A61-4051-8D12-CBDB9CF7A046}">
          <x14:formula1>
            <xm:f>Otros!$B$3:$B$6</xm:f>
          </x14:formula1>
          <xm:sqref>E2:E44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D66F9-B2F8-4886-858F-417F35DC92F7}">
  <dimension ref="A1:E132"/>
  <sheetViews>
    <sheetView workbookViewId="0">
      <pane ySplit="1" topLeftCell="A2" activePane="bottomLeft" state="frozen"/>
      <selection activeCell="B2" sqref="B2:B28"/>
      <selection pane="bottomLeft" activeCell="B2" sqref="B2:B28"/>
    </sheetView>
  </sheetViews>
  <sheetFormatPr baseColWidth="10" defaultRowHeight="14.4" x14ac:dyDescent="0.3"/>
  <cols>
    <col min="1" max="1" width="39.21875" style="9" bestFit="1" customWidth="1"/>
    <col min="2" max="2" width="10.33203125" style="10" customWidth="1"/>
    <col min="3" max="3" width="20.6640625" style="10" bestFit="1" customWidth="1"/>
    <col min="4" max="4" width="11.5546875" style="11"/>
    <col min="5" max="5" width="11.5546875" style="10"/>
    <col min="6" max="16384" width="11.5546875" style="12"/>
  </cols>
  <sheetData>
    <row r="1" spans="1:5" x14ac:dyDescent="0.3">
      <c r="A1" s="3" t="str">
        <f>Sopas!A1</f>
        <v>Plato</v>
      </c>
      <c r="B1" s="3" t="s">
        <v>225</v>
      </c>
      <c r="C1" s="3" t="str">
        <f>Sopas!C1</f>
        <v>Ingredientes</v>
      </c>
      <c r="D1" s="4" t="str">
        <f>Sopas!D1</f>
        <v>Cantidades</v>
      </c>
      <c r="E1" s="3" t="str">
        <f>Sopas!E1</f>
        <v>Unidades</v>
      </c>
    </row>
    <row r="2" spans="1:5" x14ac:dyDescent="0.3">
      <c r="A2" s="8" t="s">
        <v>27</v>
      </c>
      <c r="B2" s="7">
        <v>346</v>
      </c>
      <c r="C2" s="3" t="s">
        <v>110</v>
      </c>
      <c r="D2" s="6">
        <v>300</v>
      </c>
      <c r="E2" s="3" t="s">
        <v>95</v>
      </c>
    </row>
    <row r="3" spans="1:5" x14ac:dyDescent="0.3">
      <c r="A3" s="8"/>
      <c r="B3" s="7"/>
      <c r="C3" s="3" t="s">
        <v>118</v>
      </c>
      <c r="D3" s="4">
        <v>3</v>
      </c>
      <c r="E3" s="3" t="s">
        <v>94</v>
      </c>
    </row>
    <row r="4" spans="1:5" x14ac:dyDescent="0.3">
      <c r="A4" s="8"/>
      <c r="B4" s="7"/>
      <c r="C4" s="3" t="s">
        <v>191</v>
      </c>
      <c r="D4" s="4">
        <v>1</v>
      </c>
      <c r="E4" s="3" t="s">
        <v>94</v>
      </c>
    </row>
    <row r="5" spans="1:5" x14ac:dyDescent="0.3">
      <c r="A5" s="8"/>
      <c r="B5" s="7"/>
      <c r="C5" s="3" t="s">
        <v>144</v>
      </c>
      <c r="D5" s="4">
        <v>2</v>
      </c>
      <c r="E5" s="3" t="s">
        <v>94</v>
      </c>
    </row>
    <row r="6" spans="1:5" x14ac:dyDescent="0.3">
      <c r="A6" s="8"/>
      <c r="B6" s="7"/>
      <c r="C6" s="3" t="s">
        <v>127</v>
      </c>
      <c r="D6" s="4">
        <v>150</v>
      </c>
      <c r="E6" s="3" t="s">
        <v>95</v>
      </c>
    </row>
    <row r="7" spans="1:5" x14ac:dyDescent="0.3">
      <c r="A7" s="8"/>
      <c r="B7" s="7"/>
      <c r="C7" s="3" t="s">
        <v>109</v>
      </c>
      <c r="D7" s="4">
        <v>900</v>
      </c>
      <c r="E7" s="3" t="s">
        <v>99</v>
      </c>
    </row>
    <row r="8" spans="1:5" x14ac:dyDescent="0.3">
      <c r="A8" s="8"/>
      <c r="B8" s="7"/>
      <c r="C8" s="3" t="s">
        <v>122</v>
      </c>
      <c r="D8" s="4">
        <v>1</v>
      </c>
      <c r="E8" s="3" t="s">
        <v>94</v>
      </c>
    </row>
    <row r="9" spans="1:5" x14ac:dyDescent="0.3">
      <c r="A9" s="8"/>
      <c r="B9" s="7"/>
      <c r="C9" s="3" t="s">
        <v>114</v>
      </c>
      <c r="D9" s="4">
        <v>1</v>
      </c>
      <c r="E9" s="3" t="s">
        <v>94</v>
      </c>
    </row>
    <row r="10" spans="1:5" x14ac:dyDescent="0.3">
      <c r="A10" s="8"/>
      <c r="B10" s="7"/>
      <c r="C10" s="3" t="s">
        <v>192</v>
      </c>
      <c r="D10" s="4">
        <v>1</v>
      </c>
      <c r="E10" s="3" t="s">
        <v>94</v>
      </c>
    </row>
    <row r="11" spans="1:5" x14ac:dyDescent="0.3">
      <c r="A11" s="8"/>
      <c r="B11" s="7"/>
      <c r="C11" s="3" t="s">
        <v>166</v>
      </c>
      <c r="D11" s="4">
        <v>1</v>
      </c>
      <c r="E11" s="3" t="s">
        <v>107</v>
      </c>
    </row>
    <row r="12" spans="1:5" x14ac:dyDescent="0.3">
      <c r="A12" s="8"/>
      <c r="B12" s="7"/>
      <c r="C12" s="3" t="s">
        <v>116</v>
      </c>
      <c r="D12" s="4">
        <v>1</v>
      </c>
      <c r="E12" s="3" t="s">
        <v>94</v>
      </c>
    </row>
    <row r="13" spans="1:5" x14ac:dyDescent="0.3">
      <c r="A13" s="8" t="s">
        <v>28</v>
      </c>
      <c r="B13" s="7">
        <v>352</v>
      </c>
      <c r="C13" s="3" t="s">
        <v>110</v>
      </c>
      <c r="D13" s="4">
        <v>300</v>
      </c>
      <c r="E13" s="3" t="s">
        <v>95</v>
      </c>
    </row>
    <row r="14" spans="1:5" x14ac:dyDescent="0.3">
      <c r="A14" s="8"/>
      <c r="B14" s="7"/>
      <c r="C14" s="3" t="s">
        <v>193</v>
      </c>
      <c r="D14" s="4">
        <v>600</v>
      </c>
      <c r="E14" s="3" t="s">
        <v>95</v>
      </c>
    </row>
    <row r="15" spans="1:5" x14ac:dyDescent="0.3">
      <c r="A15" s="8"/>
      <c r="B15" s="7"/>
      <c r="C15" s="3" t="s">
        <v>131</v>
      </c>
      <c r="D15" s="4">
        <v>1</v>
      </c>
      <c r="E15" s="3" t="s">
        <v>94</v>
      </c>
    </row>
    <row r="16" spans="1:5" x14ac:dyDescent="0.3">
      <c r="A16" s="8"/>
      <c r="B16" s="7"/>
      <c r="C16" s="3" t="s">
        <v>101</v>
      </c>
      <c r="D16" s="4">
        <v>1</v>
      </c>
      <c r="E16" s="3" t="s">
        <v>94</v>
      </c>
    </row>
    <row r="17" spans="1:5" x14ac:dyDescent="0.3">
      <c r="A17" s="8"/>
      <c r="B17" s="7"/>
      <c r="C17" s="3" t="s">
        <v>137</v>
      </c>
      <c r="D17" s="4">
        <v>0.5</v>
      </c>
      <c r="E17" s="3" t="s">
        <v>94</v>
      </c>
    </row>
    <row r="18" spans="1:5" x14ac:dyDescent="0.3">
      <c r="A18" s="8"/>
      <c r="B18" s="7"/>
      <c r="C18" s="3" t="s">
        <v>126</v>
      </c>
      <c r="D18" s="4">
        <v>2</v>
      </c>
      <c r="E18" s="3" t="s">
        <v>94</v>
      </c>
    </row>
    <row r="19" spans="1:5" x14ac:dyDescent="0.3">
      <c r="A19" s="8"/>
      <c r="B19" s="7"/>
      <c r="C19" s="3" t="s">
        <v>122</v>
      </c>
      <c r="D19" s="4">
        <v>1</v>
      </c>
      <c r="E19" s="3" t="s">
        <v>94</v>
      </c>
    </row>
    <row r="20" spans="1:5" x14ac:dyDescent="0.3">
      <c r="A20" s="8"/>
      <c r="B20" s="7"/>
      <c r="C20" s="3" t="s">
        <v>114</v>
      </c>
      <c r="D20" s="4">
        <v>1</v>
      </c>
      <c r="E20" s="3" t="s">
        <v>94</v>
      </c>
    </row>
    <row r="21" spans="1:5" x14ac:dyDescent="0.3">
      <c r="A21" s="8"/>
      <c r="B21" s="7"/>
      <c r="C21" s="3" t="s">
        <v>115</v>
      </c>
      <c r="D21" s="4">
        <v>1</v>
      </c>
      <c r="E21" s="3" t="s">
        <v>94</v>
      </c>
    </row>
    <row r="22" spans="1:5" x14ac:dyDescent="0.3">
      <c r="A22" s="8"/>
      <c r="B22" s="7"/>
      <c r="C22" s="3" t="s">
        <v>166</v>
      </c>
      <c r="D22" s="4">
        <v>1</v>
      </c>
      <c r="E22" s="3" t="s">
        <v>107</v>
      </c>
    </row>
    <row r="23" spans="1:5" x14ac:dyDescent="0.3">
      <c r="A23" s="8"/>
      <c r="B23" s="7"/>
      <c r="C23" s="3" t="s">
        <v>116</v>
      </c>
      <c r="D23" s="4">
        <v>1</v>
      </c>
      <c r="E23" s="3" t="s">
        <v>94</v>
      </c>
    </row>
    <row r="24" spans="1:5" x14ac:dyDescent="0.3">
      <c r="A24" s="8" t="s">
        <v>29</v>
      </c>
      <c r="B24" s="7">
        <v>352</v>
      </c>
      <c r="C24" s="3" t="s">
        <v>110</v>
      </c>
      <c r="D24" s="4">
        <v>200</v>
      </c>
      <c r="E24" s="3" t="s">
        <v>95</v>
      </c>
    </row>
    <row r="25" spans="1:5" x14ac:dyDescent="0.3">
      <c r="A25" s="8"/>
      <c r="B25" s="7"/>
      <c r="C25" s="3" t="s">
        <v>120</v>
      </c>
      <c r="D25" s="4">
        <v>6</v>
      </c>
      <c r="E25" s="3" t="s">
        <v>94</v>
      </c>
    </row>
    <row r="26" spans="1:5" x14ac:dyDescent="0.3">
      <c r="A26" s="8"/>
      <c r="B26" s="7"/>
      <c r="C26" s="3" t="s">
        <v>152</v>
      </c>
      <c r="D26" s="4">
        <v>150</v>
      </c>
      <c r="E26" s="3" t="s">
        <v>95</v>
      </c>
    </row>
    <row r="27" spans="1:5" x14ac:dyDescent="0.3">
      <c r="A27" s="8"/>
      <c r="B27" s="7"/>
      <c r="C27" s="3" t="s">
        <v>101</v>
      </c>
      <c r="D27" s="4">
        <v>1</v>
      </c>
      <c r="E27" s="3" t="s">
        <v>94</v>
      </c>
    </row>
    <row r="28" spans="1:5" x14ac:dyDescent="0.3">
      <c r="A28" s="8"/>
      <c r="B28" s="7"/>
      <c r="C28" s="3" t="s">
        <v>126</v>
      </c>
      <c r="D28" s="4">
        <v>2</v>
      </c>
      <c r="E28" s="3" t="s">
        <v>94</v>
      </c>
    </row>
    <row r="29" spans="1:5" x14ac:dyDescent="0.3">
      <c r="A29" s="8"/>
      <c r="B29" s="7"/>
      <c r="C29" s="3" t="s">
        <v>153</v>
      </c>
      <c r="D29" s="4">
        <v>2</v>
      </c>
      <c r="E29" s="3" t="s">
        <v>94</v>
      </c>
    </row>
    <row r="30" spans="1:5" x14ac:dyDescent="0.3">
      <c r="A30" s="8"/>
      <c r="B30" s="7"/>
      <c r="C30" s="3" t="s">
        <v>98</v>
      </c>
      <c r="D30" s="4">
        <v>125</v>
      </c>
      <c r="E30" s="3" t="s">
        <v>99</v>
      </c>
    </row>
    <row r="31" spans="1:5" x14ac:dyDescent="0.3">
      <c r="A31" s="8"/>
      <c r="B31" s="7"/>
      <c r="C31" s="3" t="s">
        <v>122</v>
      </c>
      <c r="D31" s="4">
        <v>1</v>
      </c>
      <c r="E31" s="3" t="s">
        <v>94</v>
      </c>
    </row>
    <row r="32" spans="1:5" x14ac:dyDescent="0.3">
      <c r="A32" s="8"/>
      <c r="B32" s="7"/>
      <c r="C32" s="3" t="s">
        <v>114</v>
      </c>
      <c r="D32" s="4">
        <v>1</v>
      </c>
      <c r="E32" s="3" t="s">
        <v>94</v>
      </c>
    </row>
    <row r="33" spans="1:5" x14ac:dyDescent="0.3">
      <c r="A33" s="8"/>
      <c r="B33" s="7"/>
      <c r="C33" s="3" t="s">
        <v>116</v>
      </c>
      <c r="D33" s="4">
        <v>1</v>
      </c>
      <c r="E33" s="3" t="s">
        <v>94</v>
      </c>
    </row>
    <row r="34" spans="1:5" x14ac:dyDescent="0.3">
      <c r="A34" s="8" t="s">
        <v>30</v>
      </c>
      <c r="B34" s="7">
        <v>353</v>
      </c>
      <c r="C34" s="3" t="s">
        <v>110</v>
      </c>
      <c r="D34" s="4">
        <v>300</v>
      </c>
      <c r="E34" s="3" t="s">
        <v>95</v>
      </c>
    </row>
    <row r="35" spans="1:5" x14ac:dyDescent="0.3">
      <c r="A35" s="8"/>
      <c r="B35" s="7"/>
      <c r="C35" s="3" t="s">
        <v>135</v>
      </c>
      <c r="D35" s="4">
        <v>100</v>
      </c>
      <c r="E35" s="3" t="s">
        <v>95</v>
      </c>
    </row>
    <row r="36" spans="1:5" x14ac:dyDescent="0.3">
      <c r="A36" s="8"/>
      <c r="B36" s="7"/>
      <c r="C36" s="3" t="s">
        <v>194</v>
      </c>
      <c r="D36" s="4">
        <v>20</v>
      </c>
      <c r="E36" s="3" t="s">
        <v>95</v>
      </c>
    </row>
    <row r="37" spans="1:5" x14ac:dyDescent="0.3">
      <c r="A37" s="8"/>
      <c r="B37" s="7"/>
      <c r="C37" s="3" t="s">
        <v>126</v>
      </c>
      <c r="D37" s="4">
        <v>1</v>
      </c>
      <c r="E37" s="3" t="s">
        <v>94</v>
      </c>
    </row>
    <row r="38" spans="1:5" x14ac:dyDescent="0.3">
      <c r="A38" s="8"/>
      <c r="B38" s="7"/>
      <c r="C38" s="3" t="s">
        <v>139</v>
      </c>
      <c r="D38" s="4">
        <v>1</v>
      </c>
      <c r="E38" s="3" t="s">
        <v>94</v>
      </c>
    </row>
    <row r="39" spans="1:5" x14ac:dyDescent="0.3">
      <c r="A39" s="8"/>
      <c r="B39" s="7"/>
      <c r="C39" s="3" t="s">
        <v>153</v>
      </c>
      <c r="D39" s="4">
        <v>1</v>
      </c>
      <c r="E39" s="3" t="s">
        <v>94</v>
      </c>
    </row>
    <row r="40" spans="1:5" x14ac:dyDescent="0.3">
      <c r="A40" s="8"/>
      <c r="B40" s="7"/>
      <c r="C40" s="3" t="s">
        <v>181</v>
      </c>
      <c r="D40" s="4">
        <v>1</v>
      </c>
      <c r="E40" s="3" t="s">
        <v>94</v>
      </c>
    </row>
    <row r="41" spans="1:5" x14ac:dyDescent="0.3">
      <c r="A41" s="8"/>
      <c r="B41" s="7"/>
      <c r="C41" s="3" t="s">
        <v>155</v>
      </c>
      <c r="D41" s="4">
        <v>300</v>
      </c>
      <c r="E41" s="3" t="s">
        <v>99</v>
      </c>
    </row>
    <row r="42" spans="1:5" x14ac:dyDescent="0.3">
      <c r="A42" s="8"/>
      <c r="B42" s="7"/>
      <c r="C42" s="3" t="s">
        <v>122</v>
      </c>
      <c r="D42" s="4">
        <v>1</v>
      </c>
      <c r="E42" s="3" t="s">
        <v>94</v>
      </c>
    </row>
    <row r="43" spans="1:5" x14ac:dyDescent="0.3">
      <c r="A43" s="8"/>
      <c r="B43" s="7"/>
      <c r="C43" s="3" t="s">
        <v>114</v>
      </c>
      <c r="D43" s="4">
        <v>1</v>
      </c>
      <c r="E43" s="3" t="s">
        <v>94</v>
      </c>
    </row>
    <row r="44" spans="1:5" x14ac:dyDescent="0.3">
      <c r="A44" s="8"/>
      <c r="B44" s="7"/>
      <c r="C44" s="3" t="s">
        <v>116</v>
      </c>
      <c r="D44" s="4">
        <v>1</v>
      </c>
      <c r="E44" s="3" t="s">
        <v>94</v>
      </c>
    </row>
    <row r="45" spans="1:5" x14ac:dyDescent="0.3">
      <c r="A45" s="8" t="s">
        <v>31</v>
      </c>
      <c r="B45" s="7">
        <v>354</v>
      </c>
      <c r="C45" s="3" t="s">
        <v>110</v>
      </c>
      <c r="D45" s="4">
        <v>300</v>
      </c>
      <c r="E45" s="3" t="s">
        <v>95</v>
      </c>
    </row>
    <row r="46" spans="1:5" x14ac:dyDescent="0.3">
      <c r="A46" s="8"/>
      <c r="B46" s="7"/>
      <c r="C46" s="3" t="s">
        <v>195</v>
      </c>
      <c r="D46" s="4">
        <v>6</v>
      </c>
      <c r="E46" s="3" t="s">
        <v>94</v>
      </c>
    </row>
    <row r="47" spans="1:5" x14ac:dyDescent="0.3">
      <c r="A47" s="8"/>
      <c r="B47" s="7"/>
      <c r="C47" s="3" t="s">
        <v>152</v>
      </c>
      <c r="D47" s="4">
        <v>100</v>
      </c>
      <c r="E47" s="3" t="s">
        <v>95</v>
      </c>
    </row>
    <row r="48" spans="1:5" x14ac:dyDescent="0.3">
      <c r="A48" s="8"/>
      <c r="B48" s="7"/>
      <c r="C48" s="3" t="s">
        <v>151</v>
      </c>
      <c r="D48" s="4">
        <v>125</v>
      </c>
      <c r="E48" s="3" t="s">
        <v>95</v>
      </c>
    </row>
    <row r="49" spans="1:5" x14ac:dyDescent="0.3">
      <c r="A49" s="8"/>
      <c r="B49" s="7"/>
      <c r="C49" s="3" t="s">
        <v>101</v>
      </c>
      <c r="D49" s="4">
        <v>1</v>
      </c>
      <c r="E49" s="3" t="s">
        <v>94</v>
      </c>
    </row>
    <row r="50" spans="1:5" x14ac:dyDescent="0.3">
      <c r="A50" s="8"/>
      <c r="B50" s="7"/>
      <c r="C50" s="3" t="s">
        <v>120</v>
      </c>
      <c r="D50" s="4">
        <v>1</v>
      </c>
      <c r="E50" s="3" t="s">
        <v>94</v>
      </c>
    </row>
    <row r="51" spans="1:5" x14ac:dyDescent="0.3">
      <c r="A51" s="8"/>
      <c r="B51" s="7"/>
      <c r="C51" s="3" t="s">
        <v>126</v>
      </c>
      <c r="D51" s="4">
        <v>2</v>
      </c>
      <c r="E51" s="3" t="s">
        <v>94</v>
      </c>
    </row>
    <row r="52" spans="1:5" x14ac:dyDescent="0.3">
      <c r="A52" s="8"/>
      <c r="B52" s="7"/>
      <c r="C52" s="3" t="s">
        <v>108</v>
      </c>
      <c r="D52" s="4">
        <v>1</v>
      </c>
      <c r="E52" s="3" t="s">
        <v>94</v>
      </c>
    </row>
    <row r="53" spans="1:5" x14ac:dyDescent="0.3">
      <c r="A53" s="8"/>
      <c r="B53" s="7"/>
      <c r="C53" s="3" t="s">
        <v>196</v>
      </c>
      <c r="D53" s="4">
        <v>700</v>
      </c>
      <c r="E53" s="3" t="s">
        <v>99</v>
      </c>
    </row>
    <row r="54" spans="1:5" x14ac:dyDescent="0.3">
      <c r="A54" s="8"/>
      <c r="B54" s="7"/>
      <c r="C54" s="3" t="s">
        <v>122</v>
      </c>
      <c r="D54" s="4">
        <v>1</v>
      </c>
      <c r="E54" s="3" t="s">
        <v>94</v>
      </c>
    </row>
    <row r="55" spans="1:5" x14ac:dyDescent="0.3">
      <c r="A55" s="8"/>
      <c r="B55" s="7"/>
      <c r="C55" s="3" t="s">
        <v>114</v>
      </c>
      <c r="D55" s="4">
        <v>1</v>
      </c>
      <c r="E55" s="3" t="s">
        <v>94</v>
      </c>
    </row>
    <row r="56" spans="1:5" x14ac:dyDescent="0.3">
      <c r="A56" s="8"/>
      <c r="B56" s="7"/>
      <c r="C56" s="3" t="s">
        <v>116</v>
      </c>
      <c r="D56" s="4">
        <v>1</v>
      </c>
      <c r="E56" s="3" t="s">
        <v>94</v>
      </c>
    </row>
    <row r="57" spans="1:5" x14ac:dyDescent="0.3">
      <c r="A57" s="8" t="s">
        <v>197</v>
      </c>
      <c r="B57" s="7">
        <v>356</v>
      </c>
      <c r="C57" s="3" t="s">
        <v>198</v>
      </c>
      <c r="D57" s="4">
        <v>250</v>
      </c>
      <c r="E57" s="3" t="s">
        <v>95</v>
      </c>
    </row>
    <row r="58" spans="1:5" x14ac:dyDescent="0.3">
      <c r="A58" s="8"/>
      <c r="B58" s="7"/>
      <c r="C58" s="3" t="s">
        <v>126</v>
      </c>
      <c r="D58" s="4">
        <v>2</v>
      </c>
      <c r="E58" s="3" t="s">
        <v>94</v>
      </c>
    </row>
    <row r="59" spans="1:5" x14ac:dyDescent="0.3">
      <c r="A59" s="8"/>
      <c r="B59" s="7"/>
      <c r="C59" s="3" t="s">
        <v>97</v>
      </c>
      <c r="D59" s="4">
        <v>0.5</v>
      </c>
      <c r="E59" s="3" t="s">
        <v>94</v>
      </c>
    </row>
    <row r="60" spans="1:5" x14ac:dyDescent="0.3">
      <c r="A60" s="8"/>
      <c r="B60" s="7"/>
      <c r="C60" s="3" t="s">
        <v>120</v>
      </c>
      <c r="D60" s="4">
        <v>2</v>
      </c>
      <c r="E60" s="3" t="s">
        <v>94</v>
      </c>
    </row>
    <row r="61" spans="1:5" x14ac:dyDescent="0.3">
      <c r="A61" s="8"/>
      <c r="B61" s="7"/>
      <c r="C61" s="3" t="s">
        <v>199</v>
      </c>
      <c r="D61" s="4">
        <v>16</v>
      </c>
      <c r="E61" s="3" t="s">
        <v>94</v>
      </c>
    </row>
    <row r="62" spans="1:5" x14ac:dyDescent="0.3">
      <c r="A62" s="8"/>
      <c r="B62" s="7"/>
      <c r="C62" s="3" t="s">
        <v>101</v>
      </c>
      <c r="D62" s="4">
        <v>1</v>
      </c>
      <c r="E62" s="3" t="s">
        <v>94</v>
      </c>
    </row>
    <row r="63" spans="1:5" x14ac:dyDescent="0.3">
      <c r="A63" s="8"/>
      <c r="B63" s="7"/>
      <c r="C63" s="3" t="s">
        <v>200</v>
      </c>
      <c r="D63" s="4">
        <v>100</v>
      </c>
      <c r="E63" s="3" t="s">
        <v>95</v>
      </c>
    </row>
    <row r="64" spans="1:5" x14ac:dyDescent="0.3">
      <c r="A64" s="8"/>
      <c r="B64" s="7"/>
      <c r="C64" s="3" t="s">
        <v>201</v>
      </c>
      <c r="D64" s="4">
        <v>50</v>
      </c>
      <c r="E64" s="3" t="s">
        <v>95</v>
      </c>
    </row>
    <row r="65" spans="1:5" x14ac:dyDescent="0.3">
      <c r="A65" s="8"/>
      <c r="B65" s="7"/>
      <c r="C65" s="3" t="s">
        <v>122</v>
      </c>
      <c r="D65" s="4">
        <v>1</v>
      </c>
      <c r="E65" s="3" t="s">
        <v>94</v>
      </c>
    </row>
    <row r="66" spans="1:5" x14ac:dyDescent="0.3">
      <c r="A66" s="8"/>
      <c r="B66" s="7"/>
      <c r="C66" s="3" t="s">
        <v>121</v>
      </c>
      <c r="D66" s="4">
        <v>1</v>
      </c>
      <c r="E66" s="3" t="s">
        <v>94</v>
      </c>
    </row>
    <row r="67" spans="1:5" x14ac:dyDescent="0.3">
      <c r="A67" s="8"/>
      <c r="B67" s="7"/>
      <c r="C67" s="3" t="s">
        <v>202</v>
      </c>
      <c r="D67" s="4">
        <v>1</v>
      </c>
      <c r="E67" s="3" t="s">
        <v>107</v>
      </c>
    </row>
    <row r="68" spans="1:5" x14ac:dyDescent="0.3">
      <c r="A68" s="8"/>
      <c r="B68" s="7"/>
      <c r="C68" s="3" t="s">
        <v>114</v>
      </c>
      <c r="D68" s="4">
        <v>1</v>
      </c>
      <c r="E68" s="3" t="s">
        <v>94</v>
      </c>
    </row>
    <row r="69" spans="1:5" x14ac:dyDescent="0.3">
      <c r="A69" s="8"/>
      <c r="B69" s="7"/>
      <c r="C69" s="3" t="s">
        <v>116</v>
      </c>
      <c r="D69" s="4">
        <v>1</v>
      </c>
      <c r="E69" s="3" t="s">
        <v>94</v>
      </c>
    </row>
    <row r="70" spans="1:5" x14ac:dyDescent="0.3">
      <c r="A70" s="8" t="s">
        <v>32</v>
      </c>
      <c r="B70" s="7">
        <v>356</v>
      </c>
      <c r="C70" s="3" t="s">
        <v>110</v>
      </c>
      <c r="D70" s="4">
        <v>300</v>
      </c>
      <c r="E70" s="3" t="s">
        <v>95</v>
      </c>
    </row>
    <row r="71" spans="1:5" x14ac:dyDescent="0.3">
      <c r="A71" s="8"/>
      <c r="B71" s="7"/>
      <c r="C71" s="3" t="s">
        <v>153</v>
      </c>
      <c r="D71" s="4">
        <v>3</v>
      </c>
      <c r="E71" s="3" t="s">
        <v>94</v>
      </c>
    </row>
    <row r="72" spans="1:5" x14ac:dyDescent="0.3">
      <c r="A72" s="8"/>
      <c r="B72" s="7"/>
      <c r="C72" s="3" t="s">
        <v>203</v>
      </c>
      <c r="D72" s="4">
        <v>150</v>
      </c>
      <c r="E72" s="3" t="s">
        <v>95</v>
      </c>
    </row>
    <row r="73" spans="1:5" x14ac:dyDescent="0.3">
      <c r="A73" s="8"/>
      <c r="B73" s="7"/>
      <c r="C73" s="3" t="s">
        <v>151</v>
      </c>
      <c r="D73" s="4">
        <v>200</v>
      </c>
      <c r="E73" s="3" t="s">
        <v>95</v>
      </c>
    </row>
    <row r="74" spans="1:5" x14ac:dyDescent="0.3">
      <c r="A74" s="8"/>
      <c r="B74" s="7"/>
      <c r="C74" s="3" t="s">
        <v>187</v>
      </c>
      <c r="D74" s="4">
        <v>100</v>
      </c>
      <c r="E74" s="3" t="s">
        <v>95</v>
      </c>
    </row>
    <row r="75" spans="1:5" x14ac:dyDescent="0.3">
      <c r="A75" s="8"/>
      <c r="B75" s="7"/>
      <c r="C75" s="3" t="s">
        <v>136</v>
      </c>
      <c r="D75" s="4">
        <v>50</v>
      </c>
      <c r="E75" s="3" t="s">
        <v>99</v>
      </c>
    </row>
    <row r="76" spans="1:5" x14ac:dyDescent="0.3">
      <c r="A76" s="8"/>
      <c r="B76" s="7"/>
      <c r="C76" s="3" t="s">
        <v>122</v>
      </c>
      <c r="D76" s="4">
        <v>1</v>
      </c>
      <c r="E76" s="3" t="s">
        <v>94</v>
      </c>
    </row>
    <row r="77" spans="1:5" x14ac:dyDescent="0.3">
      <c r="A77" s="8"/>
      <c r="B77" s="7"/>
      <c r="C77" s="3" t="s">
        <v>114</v>
      </c>
      <c r="D77" s="4">
        <v>1</v>
      </c>
      <c r="E77" s="3" t="s">
        <v>94</v>
      </c>
    </row>
    <row r="78" spans="1:5" x14ac:dyDescent="0.3">
      <c r="A78" s="8"/>
      <c r="B78" s="7"/>
      <c r="C78" s="3" t="s">
        <v>116</v>
      </c>
      <c r="D78" s="4">
        <v>1</v>
      </c>
      <c r="E78" s="3" t="s">
        <v>94</v>
      </c>
    </row>
    <row r="79" spans="1:5" x14ac:dyDescent="0.3">
      <c r="A79" s="8" t="s">
        <v>33</v>
      </c>
      <c r="B79" s="7">
        <v>357</v>
      </c>
      <c r="C79" s="3" t="s">
        <v>110</v>
      </c>
      <c r="D79" s="4">
        <v>300</v>
      </c>
      <c r="E79" s="3" t="s">
        <v>95</v>
      </c>
    </row>
    <row r="80" spans="1:5" x14ac:dyDescent="0.3">
      <c r="A80" s="8"/>
      <c r="B80" s="7"/>
      <c r="C80" s="3" t="s">
        <v>164</v>
      </c>
      <c r="D80" s="4">
        <v>100</v>
      </c>
      <c r="E80" s="3" t="s">
        <v>95</v>
      </c>
    </row>
    <row r="81" spans="1:5" x14ac:dyDescent="0.3">
      <c r="A81" s="8"/>
      <c r="B81" s="7"/>
      <c r="C81" s="3" t="s">
        <v>100</v>
      </c>
      <c r="D81" s="4">
        <v>100</v>
      </c>
      <c r="E81" s="3" t="s">
        <v>95</v>
      </c>
    </row>
    <row r="82" spans="1:5" x14ac:dyDescent="0.3">
      <c r="A82" s="8"/>
      <c r="B82" s="7"/>
      <c r="C82" s="3" t="s">
        <v>153</v>
      </c>
      <c r="D82" s="4">
        <v>2</v>
      </c>
      <c r="E82" s="3" t="s">
        <v>94</v>
      </c>
    </row>
    <row r="83" spans="1:5" x14ac:dyDescent="0.3">
      <c r="A83" s="8"/>
      <c r="B83" s="7"/>
      <c r="C83" s="3" t="s">
        <v>204</v>
      </c>
      <c r="D83" s="4">
        <v>8</v>
      </c>
      <c r="E83" s="3" t="s">
        <v>94</v>
      </c>
    </row>
    <row r="84" spans="1:5" x14ac:dyDescent="0.3">
      <c r="A84" s="8"/>
      <c r="B84" s="7"/>
      <c r="C84" s="3" t="s">
        <v>122</v>
      </c>
      <c r="D84" s="4">
        <v>1</v>
      </c>
      <c r="E84" s="3" t="s">
        <v>94</v>
      </c>
    </row>
    <row r="85" spans="1:5" x14ac:dyDescent="0.3">
      <c r="A85" s="8"/>
      <c r="B85" s="7"/>
      <c r="C85" s="3" t="s">
        <v>114</v>
      </c>
      <c r="D85" s="4">
        <v>1</v>
      </c>
      <c r="E85" s="3" t="s">
        <v>94</v>
      </c>
    </row>
    <row r="86" spans="1:5" x14ac:dyDescent="0.3">
      <c r="A86" s="8"/>
      <c r="B86" s="7"/>
      <c r="C86" s="3" t="s">
        <v>116</v>
      </c>
      <c r="D86" s="4">
        <v>1</v>
      </c>
      <c r="E86" s="3" t="s">
        <v>94</v>
      </c>
    </row>
    <row r="87" spans="1:5" x14ac:dyDescent="0.3">
      <c r="A87" s="8" t="s">
        <v>34</v>
      </c>
      <c r="B87" s="7">
        <v>362</v>
      </c>
      <c r="C87" s="3" t="s">
        <v>198</v>
      </c>
      <c r="D87" s="4">
        <v>250</v>
      </c>
      <c r="E87" s="3" t="s">
        <v>95</v>
      </c>
    </row>
    <row r="88" spans="1:5" x14ac:dyDescent="0.3">
      <c r="A88" s="8"/>
      <c r="B88" s="7"/>
      <c r="C88" s="3" t="s">
        <v>153</v>
      </c>
      <c r="D88" s="4">
        <v>4</v>
      </c>
      <c r="E88" s="3" t="s">
        <v>94</v>
      </c>
    </row>
    <row r="89" spans="1:5" x14ac:dyDescent="0.3">
      <c r="A89" s="8"/>
      <c r="B89" s="7"/>
      <c r="C89" s="3" t="s">
        <v>205</v>
      </c>
      <c r="D89" s="4">
        <v>3</v>
      </c>
      <c r="E89" s="3" t="s">
        <v>94</v>
      </c>
    </row>
    <row r="90" spans="1:5" x14ac:dyDescent="0.3">
      <c r="A90" s="8"/>
      <c r="B90" s="7"/>
      <c r="C90" s="3" t="s">
        <v>206</v>
      </c>
      <c r="D90" s="4">
        <v>1</v>
      </c>
      <c r="E90" s="3" t="s">
        <v>94</v>
      </c>
    </row>
    <row r="91" spans="1:5" x14ac:dyDescent="0.3">
      <c r="A91" s="8"/>
      <c r="B91" s="7"/>
      <c r="C91" s="3" t="s">
        <v>101</v>
      </c>
      <c r="D91" s="4">
        <v>1</v>
      </c>
      <c r="E91" s="3" t="s">
        <v>94</v>
      </c>
    </row>
    <row r="92" spans="1:5" x14ac:dyDescent="0.3">
      <c r="A92" s="8"/>
      <c r="B92" s="7"/>
      <c r="C92" s="3" t="s">
        <v>126</v>
      </c>
      <c r="D92" s="4">
        <v>2</v>
      </c>
      <c r="E92" s="3" t="s">
        <v>94</v>
      </c>
    </row>
    <row r="93" spans="1:5" x14ac:dyDescent="0.3">
      <c r="A93" s="8"/>
      <c r="B93" s="7"/>
      <c r="C93" s="3" t="s">
        <v>122</v>
      </c>
      <c r="D93" s="4">
        <v>1</v>
      </c>
      <c r="E93" s="3" t="s">
        <v>94</v>
      </c>
    </row>
    <row r="94" spans="1:5" x14ac:dyDescent="0.3">
      <c r="A94" s="8"/>
      <c r="B94" s="7"/>
      <c r="C94" s="3" t="s">
        <v>121</v>
      </c>
      <c r="D94" s="4">
        <v>1</v>
      </c>
      <c r="E94" s="3" t="s">
        <v>94</v>
      </c>
    </row>
    <row r="95" spans="1:5" x14ac:dyDescent="0.3">
      <c r="A95" s="8"/>
      <c r="B95" s="7"/>
      <c r="C95" s="3" t="s">
        <v>114</v>
      </c>
      <c r="D95" s="4">
        <v>1</v>
      </c>
      <c r="E95" s="3" t="s">
        <v>94</v>
      </c>
    </row>
    <row r="96" spans="1:5" x14ac:dyDescent="0.3">
      <c r="A96" s="8"/>
      <c r="B96" s="7"/>
      <c r="C96" s="3" t="s">
        <v>116</v>
      </c>
      <c r="D96" s="4">
        <v>1</v>
      </c>
      <c r="E96" s="3" t="s">
        <v>94</v>
      </c>
    </row>
    <row r="97" spans="1:5" x14ac:dyDescent="0.3">
      <c r="A97" s="8" t="s">
        <v>35</v>
      </c>
      <c r="B97" s="7">
        <v>365</v>
      </c>
      <c r="C97" s="3" t="s">
        <v>110</v>
      </c>
      <c r="D97" s="4">
        <v>300</v>
      </c>
      <c r="E97" s="3" t="s">
        <v>95</v>
      </c>
    </row>
    <row r="98" spans="1:5" x14ac:dyDescent="0.3">
      <c r="A98" s="8"/>
      <c r="B98" s="7"/>
      <c r="C98" s="3" t="s">
        <v>152</v>
      </c>
      <c r="D98" s="4">
        <v>100</v>
      </c>
      <c r="E98" s="3" t="s">
        <v>95</v>
      </c>
    </row>
    <row r="99" spans="1:5" x14ac:dyDescent="0.3">
      <c r="A99" s="8"/>
      <c r="B99" s="7"/>
      <c r="C99" s="3" t="s">
        <v>128</v>
      </c>
      <c r="D99" s="4">
        <v>2</v>
      </c>
      <c r="E99" s="3" t="s">
        <v>94</v>
      </c>
    </row>
    <row r="100" spans="1:5" x14ac:dyDescent="0.3">
      <c r="A100" s="8"/>
      <c r="B100" s="7"/>
      <c r="C100" s="3" t="s">
        <v>101</v>
      </c>
      <c r="D100" s="4">
        <v>1</v>
      </c>
      <c r="E100" s="3" t="s">
        <v>94</v>
      </c>
    </row>
    <row r="101" spans="1:5" x14ac:dyDescent="0.3">
      <c r="A101" s="8"/>
      <c r="B101" s="7"/>
      <c r="C101" s="3" t="s">
        <v>137</v>
      </c>
      <c r="D101" s="4">
        <v>0.5</v>
      </c>
      <c r="E101" s="3" t="s">
        <v>94</v>
      </c>
    </row>
    <row r="102" spans="1:5" x14ac:dyDescent="0.3">
      <c r="A102" s="8"/>
      <c r="B102" s="7"/>
      <c r="C102" s="3" t="s">
        <v>207</v>
      </c>
      <c r="D102" s="4">
        <v>1750</v>
      </c>
      <c r="E102" s="3" t="s">
        <v>99</v>
      </c>
    </row>
    <row r="103" spans="1:5" x14ac:dyDescent="0.3">
      <c r="A103" s="8"/>
      <c r="B103" s="7"/>
      <c r="C103" s="3" t="s">
        <v>157</v>
      </c>
      <c r="D103" s="4">
        <v>100</v>
      </c>
      <c r="E103" s="3" t="s">
        <v>95</v>
      </c>
    </row>
    <row r="104" spans="1:5" x14ac:dyDescent="0.3">
      <c r="A104" s="8"/>
      <c r="B104" s="7"/>
      <c r="C104" s="3" t="s">
        <v>122</v>
      </c>
      <c r="D104" s="4">
        <v>1</v>
      </c>
      <c r="E104" s="3" t="s">
        <v>94</v>
      </c>
    </row>
    <row r="105" spans="1:5" x14ac:dyDescent="0.3">
      <c r="A105" s="8"/>
      <c r="B105" s="7"/>
      <c r="C105" s="3" t="s">
        <v>114</v>
      </c>
      <c r="D105" s="4">
        <v>1</v>
      </c>
      <c r="E105" s="3" t="s">
        <v>94</v>
      </c>
    </row>
    <row r="106" spans="1:5" x14ac:dyDescent="0.3">
      <c r="A106" s="8"/>
      <c r="B106" s="7"/>
      <c r="C106" s="3" t="s">
        <v>115</v>
      </c>
      <c r="D106" s="4">
        <v>1</v>
      </c>
      <c r="E106" s="3" t="s">
        <v>94</v>
      </c>
    </row>
    <row r="107" spans="1:5" x14ac:dyDescent="0.3">
      <c r="A107" s="8"/>
      <c r="B107" s="7"/>
      <c r="C107" s="3" t="s">
        <v>192</v>
      </c>
      <c r="D107" s="4">
        <v>1</v>
      </c>
      <c r="E107" s="3" t="s">
        <v>94</v>
      </c>
    </row>
    <row r="108" spans="1:5" x14ac:dyDescent="0.3">
      <c r="A108" s="8"/>
      <c r="B108" s="7"/>
      <c r="C108" s="3" t="s">
        <v>116</v>
      </c>
      <c r="D108" s="4">
        <v>1</v>
      </c>
      <c r="E108" s="3" t="s">
        <v>94</v>
      </c>
    </row>
    <row r="109" spans="1:5" x14ac:dyDescent="0.3">
      <c r="A109" s="8" t="s">
        <v>36</v>
      </c>
      <c r="B109" s="7">
        <v>365</v>
      </c>
      <c r="C109" s="3" t="s">
        <v>110</v>
      </c>
      <c r="D109" s="4">
        <v>300</v>
      </c>
      <c r="E109" s="3" t="s">
        <v>95</v>
      </c>
    </row>
    <row r="110" spans="1:5" x14ac:dyDescent="0.3">
      <c r="A110" s="8"/>
      <c r="B110" s="7"/>
      <c r="C110" s="3" t="s">
        <v>208</v>
      </c>
      <c r="D110" s="4">
        <v>250</v>
      </c>
      <c r="E110" s="3" t="s">
        <v>95</v>
      </c>
    </row>
    <row r="111" spans="1:5" x14ac:dyDescent="0.3">
      <c r="A111" s="8"/>
      <c r="B111" s="7"/>
      <c r="C111" s="3" t="s">
        <v>209</v>
      </c>
      <c r="D111" s="4">
        <v>1</v>
      </c>
      <c r="E111" s="3" t="s">
        <v>94</v>
      </c>
    </row>
    <row r="112" spans="1:5" x14ac:dyDescent="0.3">
      <c r="A112" s="8"/>
      <c r="B112" s="7"/>
      <c r="C112" s="3" t="s">
        <v>101</v>
      </c>
      <c r="D112" s="4">
        <v>1</v>
      </c>
      <c r="E112" s="3" t="s">
        <v>94</v>
      </c>
    </row>
    <row r="113" spans="1:5" x14ac:dyDescent="0.3">
      <c r="A113" s="8"/>
      <c r="B113" s="7"/>
      <c r="C113" s="3" t="s">
        <v>126</v>
      </c>
      <c r="D113" s="4">
        <v>2</v>
      </c>
      <c r="E113" s="3" t="s">
        <v>94</v>
      </c>
    </row>
    <row r="114" spans="1:5" x14ac:dyDescent="0.3">
      <c r="A114" s="8"/>
      <c r="B114" s="7"/>
      <c r="C114" s="3" t="s">
        <v>210</v>
      </c>
      <c r="D114" s="4">
        <v>11</v>
      </c>
      <c r="E114" s="3" t="s">
        <v>94</v>
      </c>
    </row>
    <row r="115" spans="1:5" x14ac:dyDescent="0.3">
      <c r="A115" s="8"/>
      <c r="B115" s="7"/>
      <c r="C115" s="3" t="s">
        <v>109</v>
      </c>
      <c r="D115" s="4">
        <v>1500</v>
      </c>
      <c r="E115" s="3" t="s">
        <v>99</v>
      </c>
    </row>
    <row r="116" spans="1:5" x14ac:dyDescent="0.3">
      <c r="A116" s="8"/>
      <c r="B116" s="7"/>
      <c r="C116" s="3" t="s">
        <v>211</v>
      </c>
      <c r="D116" s="4">
        <v>50</v>
      </c>
      <c r="E116" s="3" t="s">
        <v>99</v>
      </c>
    </row>
    <row r="117" spans="1:5" x14ac:dyDescent="0.3">
      <c r="A117" s="8"/>
      <c r="B117" s="7"/>
      <c r="C117" s="3" t="s">
        <v>122</v>
      </c>
      <c r="D117" s="4">
        <v>1</v>
      </c>
      <c r="E117" s="3" t="s">
        <v>94</v>
      </c>
    </row>
    <row r="118" spans="1:5" x14ac:dyDescent="0.3">
      <c r="A118" s="8"/>
      <c r="B118" s="7"/>
      <c r="C118" s="3" t="s">
        <v>114</v>
      </c>
      <c r="D118" s="4">
        <v>1</v>
      </c>
      <c r="E118" s="3" t="s">
        <v>94</v>
      </c>
    </row>
    <row r="119" spans="1:5" x14ac:dyDescent="0.3">
      <c r="A119" s="8"/>
      <c r="B119" s="7"/>
      <c r="C119" s="3" t="s">
        <v>115</v>
      </c>
      <c r="D119" s="4">
        <v>1</v>
      </c>
      <c r="E119" s="3" t="s">
        <v>94</v>
      </c>
    </row>
    <row r="120" spans="1:5" x14ac:dyDescent="0.3">
      <c r="A120" s="8"/>
      <c r="B120" s="7"/>
      <c r="C120" s="3" t="s">
        <v>116</v>
      </c>
      <c r="D120" s="4">
        <v>1</v>
      </c>
      <c r="E120" s="3" t="s">
        <v>94</v>
      </c>
    </row>
    <row r="121" spans="1:5" x14ac:dyDescent="0.3">
      <c r="A121" s="8" t="s">
        <v>37</v>
      </c>
      <c r="B121" s="7">
        <v>366</v>
      </c>
      <c r="C121" s="3" t="s">
        <v>110</v>
      </c>
      <c r="D121" s="4">
        <v>300</v>
      </c>
      <c r="E121" s="3" t="s">
        <v>95</v>
      </c>
    </row>
    <row r="122" spans="1:5" x14ac:dyDescent="0.3">
      <c r="A122" s="8"/>
      <c r="B122" s="7"/>
      <c r="C122" s="3" t="s">
        <v>212</v>
      </c>
      <c r="D122" s="4">
        <v>0.5</v>
      </c>
      <c r="E122" s="3" t="s">
        <v>94</v>
      </c>
    </row>
    <row r="123" spans="1:5" x14ac:dyDescent="0.3">
      <c r="A123" s="8"/>
      <c r="B123" s="7"/>
      <c r="C123" s="3" t="s">
        <v>164</v>
      </c>
      <c r="D123" s="4">
        <v>100</v>
      </c>
      <c r="E123" s="3" t="s">
        <v>95</v>
      </c>
    </row>
    <row r="124" spans="1:5" x14ac:dyDescent="0.3">
      <c r="A124" s="8"/>
      <c r="B124" s="7"/>
      <c r="C124" s="3" t="s">
        <v>101</v>
      </c>
      <c r="D124" s="4">
        <v>1</v>
      </c>
      <c r="E124" s="3" t="s">
        <v>94</v>
      </c>
    </row>
    <row r="125" spans="1:5" x14ac:dyDescent="0.3">
      <c r="A125" s="8"/>
      <c r="B125" s="7"/>
      <c r="C125" s="3" t="s">
        <v>108</v>
      </c>
      <c r="D125" s="4">
        <v>1</v>
      </c>
      <c r="E125" s="3" t="s">
        <v>94</v>
      </c>
    </row>
    <row r="126" spans="1:5" x14ac:dyDescent="0.3">
      <c r="A126" s="8"/>
      <c r="B126" s="7"/>
      <c r="C126" s="3" t="s">
        <v>118</v>
      </c>
      <c r="D126" s="4">
        <v>1</v>
      </c>
      <c r="E126" s="3" t="s">
        <v>94</v>
      </c>
    </row>
    <row r="127" spans="1:5" x14ac:dyDescent="0.3">
      <c r="A127" s="8"/>
      <c r="B127" s="7"/>
      <c r="C127" s="3" t="s">
        <v>213</v>
      </c>
      <c r="D127" s="4">
        <v>75</v>
      </c>
      <c r="E127" s="3" t="s">
        <v>99</v>
      </c>
    </row>
    <row r="128" spans="1:5" x14ac:dyDescent="0.3">
      <c r="A128" s="8"/>
      <c r="B128" s="7"/>
      <c r="C128" s="3" t="s">
        <v>122</v>
      </c>
      <c r="D128" s="4">
        <v>1</v>
      </c>
      <c r="E128" s="3" t="s">
        <v>94</v>
      </c>
    </row>
    <row r="129" spans="1:5" x14ac:dyDescent="0.3">
      <c r="A129" s="8"/>
      <c r="B129" s="7"/>
      <c r="C129" s="3" t="s">
        <v>114</v>
      </c>
      <c r="D129" s="4">
        <v>1</v>
      </c>
      <c r="E129" s="3" t="s">
        <v>94</v>
      </c>
    </row>
    <row r="130" spans="1:5" x14ac:dyDescent="0.3">
      <c r="A130" s="8"/>
      <c r="B130" s="7"/>
      <c r="C130" s="3" t="s">
        <v>115</v>
      </c>
      <c r="D130" s="4">
        <v>1</v>
      </c>
      <c r="E130" s="3" t="s">
        <v>94</v>
      </c>
    </row>
    <row r="131" spans="1:5" x14ac:dyDescent="0.3">
      <c r="A131" s="8"/>
      <c r="B131" s="7"/>
      <c r="C131" s="3" t="s">
        <v>192</v>
      </c>
      <c r="D131" s="4">
        <v>1</v>
      </c>
      <c r="E131" s="3" t="s">
        <v>94</v>
      </c>
    </row>
    <row r="132" spans="1:5" x14ac:dyDescent="0.3">
      <c r="A132" s="8"/>
      <c r="B132" s="7"/>
      <c r="C132" s="3" t="s">
        <v>116</v>
      </c>
      <c r="D132" s="4">
        <v>1</v>
      </c>
      <c r="E132" s="3" t="s">
        <v>94</v>
      </c>
    </row>
  </sheetData>
  <mergeCells count="24">
    <mergeCell ref="A121:A132"/>
    <mergeCell ref="A2:A12"/>
    <mergeCell ref="A13:A23"/>
    <mergeCell ref="A24:A33"/>
    <mergeCell ref="A34:A44"/>
    <mergeCell ref="A45:A56"/>
    <mergeCell ref="A57:A69"/>
    <mergeCell ref="A70:A78"/>
    <mergeCell ref="A97:A108"/>
    <mergeCell ref="A87:A96"/>
    <mergeCell ref="A79:A86"/>
    <mergeCell ref="A109:A120"/>
    <mergeCell ref="B121:B132"/>
    <mergeCell ref="B109:B120"/>
    <mergeCell ref="B97:B108"/>
    <mergeCell ref="B87:B96"/>
    <mergeCell ref="B79:B86"/>
    <mergeCell ref="B13:B23"/>
    <mergeCell ref="B2:B12"/>
    <mergeCell ref="B70:B78"/>
    <mergeCell ref="B57:B69"/>
    <mergeCell ref="B45:B56"/>
    <mergeCell ref="B34:B44"/>
    <mergeCell ref="B24:B33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E1979BF-1A78-4F8A-816B-B689E79A98FD}">
          <x14:formula1>
            <xm:f>Otros!$B$3:$B$6</xm:f>
          </x14:formula1>
          <xm:sqref>E2:E132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D8B04-0774-4323-9453-B79F911F0FA8}">
  <dimension ref="A1:J147"/>
  <sheetViews>
    <sheetView workbookViewId="0">
      <pane ySplit="1" topLeftCell="A2" activePane="bottomLeft" state="frozen"/>
      <selection activeCell="B2" sqref="B2:B28"/>
      <selection pane="bottomLeft" activeCell="B2" sqref="B2:B30"/>
    </sheetView>
  </sheetViews>
  <sheetFormatPr baseColWidth="10" defaultRowHeight="14.4" x14ac:dyDescent="0.3"/>
  <cols>
    <col min="1" max="1" width="28.6640625" style="9" bestFit="1" customWidth="1"/>
    <col min="2" max="2" width="10.33203125" style="10" customWidth="1"/>
    <col min="3" max="3" width="22.6640625" style="10" bestFit="1" customWidth="1"/>
    <col min="4" max="4" width="11.5546875" style="11"/>
    <col min="5" max="5" width="11.5546875" style="10"/>
    <col min="6" max="16384" width="11.5546875" style="12"/>
  </cols>
  <sheetData>
    <row r="1" spans="1:5" x14ac:dyDescent="0.3">
      <c r="A1" s="3" t="str">
        <f>Sopas!A1</f>
        <v>Plato</v>
      </c>
      <c r="B1" s="3" t="s">
        <v>225</v>
      </c>
      <c r="C1" s="3" t="str">
        <f>Sopas!C1</f>
        <v>Ingredientes</v>
      </c>
      <c r="D1" s="4" t="str">
        <f>Sopas!D1</f>
        <v>Cantidades</v>
      </c>
      <c r="E1" s="3" t="str">
        <f>Sopas!E1</f>
        <v>Unidades</v>
      </c>
    </row>
    <row r="2" spans="1:5" x14ac:dyDescent="0.3">
      <c r="A2" s="8" t="s">
        <v>47</v>
      </c>
      <c r="B2" s="7">
        <v>370</v>
      </c>
      <c r="C2" s="3" t="s">
        <v>214</v>
      </c>
      <c r="D2" s="4">
        <v>16</v>
      </c>
      <c r="E2" s="3" t="s">
        <v>94</v>
      </c>
    </row>
    <row r="3" spans="1:5" x14ac:dyDescent="0.3">
      <c r="A3" s="8"/>
      <c r="B3" s="7"/>
      <c r="C3" s="3" t="s">
        <v>178</v>
      </c>
      <c r="D3" s="4">
        <v>400</v>
      </c>
      <c r="E3" s="3" t="s">
        <v>95</v>
      </c>
    </row>
    <row r="4" spans="1:5" x14ac:dyDescent="0.3">
      <c r="A4" s="8"/>
      <c r="B4" s="7"/>
      <c r="C4" s="3" t="s">
        <v>126</v>
      </c>
      <c r="D4" s="4">
        <v>2</v>
      </c>
      <c r="E4" s="3" t="s">
        <v>94</v>
      </c>
    </row>
    <row r="5" spans="1:5" x14ac:dyDescent="0.3">
      <c r="A5" s="8"/>
      <c r="B5" s="7"/>
      <c r="C5" s="3" t="s">
        <v>101</v>
      </c>
      <c r="D5" s="4">
        <v>1</v>
      </c>
      <c r="E5" s="3" t="s">
        <v>94</v>
      </c>
    </row>
    <row r="6" spans="1:5" x14ac:dyDescent="0.3">
      <c r="A6" s="8"/>
      <c r="B6" s="7"/>
      <c r="C6" s="3" t="s">
        <v>108</v>
      </c>
      <c r="D6" s="4">
        <v>1</v>
      </c>
      <c r="E6" s="3" t="s">
        <v>94</v>
      </c>
    </row>
    <row r="7" spans="1:5" x14ac:dyDescent="0.3">
      <c r="A7" s="8"/>
      <c r="B7" s="7"/>
      <c r="C7" s="3" t="s">
        <v>120</v>
      </c>
      <c r="D7" s="4">
        <v>2</v>
      </c>
      <c r="E7" s="3" t="s">
        <v>94</v>
      </c>
    </row>
    <row r="8" spans="1:5" x14ac:dyDescent="0.3">
      <c r="A8" s="8"/>
      <c r="B8" s="7"/>
      <c r="C8" s="3" t="s">
        <v>215</v>
      </c>
      <c r="D8" s="4">
        <v>1</v>
      </c>
      <c r="E8" s="3" t="s">
        <v>94</v>
      </c>
    </row>
    <row r="9" spans="1:5" x14ac:dyDescent="0.3">
      <c r="A9" s="8"/>
      <c r="B9" s="7"/>
      <c r="C9" s="3" t="s">
        <v>145</v>
      </c>
      <c r="D9" s="4">
        <v>125</v>
      </c>
      <c r="E9" s="3" t="s">
        <v>99</v>
      </c>
    </row>
    <row r="10" spans="1:5" x14ac:dyDescent="0.3">
      <c r="A10" s="8"/>
      <c r="B10" s="7"/>
      <c r="C10" s="3" t="s">
        <v>216</v>
      </c>
      <c r="D10" s="4">
        <v>250</v>
      </c>
      <c r="E10" s="3" t="s">
        <v>99</v>
      </c>
    </row>
    <row r="11" spans="1:5" x14ac:dyDescent="0.3">
      <c r="A11" s="8"/>
      <c r="B11" s="7"/>
      <c r="C11" s="3" t="s">
        <v>217</v>
      </c>
      <c r="D11" s="4">
        <v>50</v>
      </c>
      <c r="E11" s="3" t="s">
        <v>95</v>
      </c>
    </row>
    <row r="12" spans="1:5" x14ac:dyDescent="0.3">
      <c r="A12" s="8"/>
      <c r="B12" s="7"/>
      <c r="C12" s="3" t="s">
        <v>122</v>
      </c>
      <c r="D12" s="4">
        <v>1</v>
      </c>
      <c r="E12" s="3" t="s">
        <v>94</v>
      </c>
    </row>
    <row r="13" spans="1:5" x14ac:dyDescent="0.3">
      <c r="A13" s="8"/>
      <c r="B13" s="7"/>
      <c r="C13" s="3" t="s">
        <v>114</v>
      </c>
      <c r="D13" s="4">
        <v>1</v>
      </c>
      <c r="E13" s="3" t="s">
        <v>94</v>
      </c>
    </row>
    <row r="14" spans="1:5" x14ac:dyDescent="0.3">
      <c r="A14" s="8"/>
      <c r="B14" s="7"/>
      <c r="C14" s="3" t="s">
        <v>115</v>
      </c>
      <c r="D14" s="4">
        <v>1</v>
      </c>
      <c r="E14" s="3" t="s">
        <v>94</v>
      </c>
    </row>
    <row r="15" spans="1:5" x14ac:dyDescent="0.3">
      <c r="A15" s="8"/>
      <c r="B15" s="7"/>
      <c r="C15" s="3" t="s">
        <v>116</v>
      </c>
      <c r="D15" s="4">
        <v>1</v>
      </c>
      <c r="E15" s="3" t="s">
        <v>94</v>
      </c>
    </row>
    <row r="16" spans="1:5" x14ac:dyDescent="0.3">
      <c r="A16" s="8"/>
      <c r="B16" s="7"/>
      <c r="C16" s="3" t="s">
        <v>93</v>
      </c>
      <c r="D16" s="4">
        <v>80</v>
      </c>
      <c r="E16" s="3" t="s">
        <v>95</v>
      </c>
    </row>
    <row r="17" spans="1:5" x14ac:dyDescent="0.3">
      <c r="A17" s="8"/>
      <c r="B17" s="7"/>
      <c r="C17" s="3" t="s">
        <v>98</v>
      </c>
      <c r="D17" s="4">
        <v>1000</v>
      </c>
      <c r="E17" s="3" t="s">
        <v>99</v>
      </c>
    </row>
    <row r="18" spans="1:5" x14ac:dyDescent="0.3">
      <c r="A18" s="8"/>
      <c r="B18" s="7"/>
      <c r="C18" s="3" t="s">
        <v>154</v>
      </c>
      <c r="D18" s="4">
        <v>60</v>
      </c>
      <c r="E18" s="3" t="s">
        <v>95</v>
      </c>
    </row>
    <row r="19" spans="1:5" x14ac:dyDescent="0.3">
      <c r="A19" s="8"/>
      <c r="B19" s="7"/>
      <c r="C19" s="3" t="s">
        <v>114</v>
      </c>
      <c r="D19" s="4">
        <v>1</v>
      </c>
      <c r="E19" s="3" t="s">
        <v>94</v>
      </c>
    </row>
    <row r="20" spans="1:5" x14ac:dyDescent="0.3">
      <c r="A20" s="8"/>
      <c r="B20" s="7"/>
      <c r="C20" s="3" t="s">
        <v>143</v>
      </c>
      <c r="D20" s="4">
        <v>1</v>
      </c>
      <c r="E20" s="3" t="s">
        <v>94</v>
      </c>
    </row>
    <row r="21" spans="1:5" x14ac:dyDescent="0.3">
      <c r="A21" s="8"/>
      <c r="B21" s="7"/>
      <c r="C21" s="3" t="s">
        <v>116</v>
      </c>
      <c r="D21" s="4">
        <v>1</v>
      </c>
      <c r="E21" s="3" t="s">
        <v>94</v>
      </c>
    </row>
    <row r="22" spans="1:5" x14ac:dyDescent="0.3">
      <c r="A22" s="8" t="s">
        <v>38</v>
      </c>
      <c r="B22" s="7">
        <v>374</v>
      </c>
      <c r="C22" s="3" t="s">
        <v>218</v>
      </c>
      <c r="D22" s="4">
        <v>300</v>
      </c>
      <c r="E22" s="3" t="s">
        <v>95</v>
      </c>
    </row>
    <row r="23" spans="1:5" x14ac:dyDescent="0.3">
      <c r="A23" s="8"/>
      <c r="B23" s="7"/>
      <c r="C23" s="3" t="s">
        <v>118</v>
      </c>
      <c r="D23" s="4">
        <v>3</v>
      </c>
      <c r="E23" s="3" t="s">
        <v>94</v>
      </c>
    </row>
    <row r="24" spans="1:5" x14ac:dyDescent="0.3">
      <c r="A24" s="8"/>
      <c r="B24" s="7"/>
      <c r="C24" s="3" t="s">
        <v>219</v>
      </c>
      <c r="D24" s="4">
        <v>75</v>
      </c>
      <c r="E24" s="3" t="s">
        <v>95</v>
      </c>
    </row>
    <row r="25" spans="1:5" x14ac:dyDescent="0.3">
      <c r="A25" s="8"/>
      <c r="B25" s="7"/>
      <c r="C25" s="3" t="s">
        <v>126</v>
      </c>
      <c r="D25" s="4">
        <v>2</v>
      </c>
      <c r="E25" s="3" t="s">
        <v>94</v>
      </c>
    </row>
    <row r="26" spans="1:5" x14ac:dyDescent="0.3">
      <c r="A26" s="8"/>
      <c r="B26" s="7"/>
      <c r="C26" s="3" t="s">
        <v>220</v>
      </c>
      <c r="D26" s="4">
        <v>12</v>
      </c>
      <c r="E26" s="3" t="s">
        <v>94</v>
      </c>
    </row>
    <row r="27" spans="1:5" x14ac:dyDescent="0.3">
      <c r="A27" s="8"/>
      <c r="B27" s="7"/>
      <c r="C27" s="3" t="s">
        <v>122</v>
      </c>
      <c r="D27" s="4">
        <v>1</v>
      </c>
      <c r="E27" s="3" t="s">
        <v>94</v>
      </c>
    </row>
    <row r="28" spans="1:5" x14ac:dyDescent="0.3">
      <c r="A28" s="8"/>
      <c r="B28" s="7"/>
      <c r="C28" s="3" t="s">
        <v>158</v>
      </c>
      <c r="D28" s="4">
        <v>1</v>
      </c>
      <c r="E28" s="3" t="s">
        <v>94</v>
      </c>
    </row>
    <row r="29" spans="1:5" x14ac:dyDescent="0.3">
      <c r="A29" s="8"/>
      <c r="B29" s="7"/>
      <c r="C29" s="3" t="s">
        <v>114</v>
      </c>
      <c r="D29" s="4">
        <v>1</v>
      </c>
      <c r="E29" s="3" t="s">
        <v>94</v>
      </c>
    </row>
    <row r="30" spans="1:5" x14ac:dyDescent="0.3">
      <c r="A30" s="8"/>
      <c r="B30" s="7"/>
      <c r="C30" s="3" t="s">
        <v>116</v>
      </c>
      <c r="D30" s="4">
        <v>1</v>
      </c>
      <c r="E30" s="3" t="s">
        <v>94</v>
      </c>
    </row>
    <row r="31" spans="1:5" x14ac:dyDescent="0.3">
      <c r="A31" s="8" t="s">
        <v>39</v>
      </c>
      <c r="B31" s="7">
        <v>376</v>
      </c>
      <c r="C31" s="3" t="s">
        <v>221</v>
      </c>
      <c r="D31" s="4">
        <v>400</v>
      </c>
      <c r="E31" s="3" t="s">
        <v>95</v>
      </c>
    </row>
    <row r="32" spans="1:5" x14ac:dyDescent="0.3">
      <c r="A32" s="8"/>
      <c r="B32" s="7"/>
      <c r="C32" s="3" t="s">
        <v>222</v>
      </c>
      <c r="D32" s="4">
        <v>700</v>
      </c>
      <c r="E32" s="3" t="s">
        <v>95</v>
      </c>
    </row>
    <row r="33" spans="1:5" x14ac:dyDescent="0.3">
      <c r="A33" s="8"/>
      <c r="B33" s="7"/>
      <c r="C33" s="3" t="s">
        <v>223</v>
      </c>
      <c r="D33" s="4">
        <v>16</v>
      </c>
      <c r="E33" s="3" t="s">
        <v>94</v>
      </c>
    </row>
    <row r="34" spans="1:5" x14ac:dyDescent="0.3">
      <c r="A34" s="8"/>
      <c r="B34" s="7"/>
      <c r="C34" s="3" t="s">
        <v>210</v>
      </c>
      <c r="D34" s="4">
        <v>8</v>
      </c>
      <c r="E34" s="3" t="s">
        <v>94</v>
      </c>
    </row>
    <row r="35" spans="1:5" x14ac:dyDescent="0.3">
      <c r="A35" s="8"/>
      <c r="B35" s="7"/>
      <c r="C35" s="3" t="s">
        <v>201</v>
      </c>
      <c r="D35" s="4">
        <v>1</v>
      </c>
      <c r="E35" s="3" t="s">
        <v>94</v>
      </c>
    </row>
    <row r="36" spans="1:5" x14ac:dyDescent="0.3">
      <c r="A36" s="8"/>
      <c r="B36" s="7"/>
      <c r="C36" s="3" t="s">
        <v>122</v>
      </c>
      <c r="D36" s="4">
        <v>1</v>
      </c>
      <c r="E36" s="3" t="s">
        <v>94</v>
      </c>
    </row>
    <row r="37" spans="1:5" x14ac:dyDescent="0.3">
      <c r="A37" s="8"/>
      <c r="B37" s="7"/>
      <c r="C37" s="3" t="s">
        <v>224</v>
      </c>
      <c r="D37" s="4">
        <v>1</v>
      </c>
      <c r="E37" s="3" t="s">
        <v>94</v>
      </c>
    </row>
    <row r="38" spans="1:5" x14ac:dyDescent="0.3">
      <c r="A38" s="8"/>
      <c r="B38" s="7"/>
      <c r="C38" s="3" t="s">
        <v>114</v>
      </c>
      <c r="D38" s="4">
        <v>1</v>
      </c>
      <c r="E38" s="3" t="s">
        <v>94</v>
      </c>
    </row>
    <row r="39" spans="1:5" x14ac:dyDescent="0.3">
      <c r="A39" s="8"/>
      <c r="B39" s="7"/>
      <c r="C39" s="3" t="s">
        <v>115</v>
      </c>
      <c r="D39" s="4">
        <v>1</v>
      </c>
      <c r="E39" s="3" t="s">
        <v>94</v>
      </c>
    </row>
    <row r="40" spans="1:5" x14ac:dyDescent="0.3">
      <c r="A40" s="8"/>
      <c r="B40" s="7"/>
      <c r="C40" s="3" t="s">
        <v>116</v>
      </c>
      <c r="D40" s="4">
        <v>1</v>
      </c>
      <c r="E40" s="3" t="s">
        <v>94</v>
      </c>
    </row>
    <row r="41" spans="1:5" x14ac:dyDescent="0.3">
      <c r="A41" s="8" t="s">
        <v>40</v>
      </c>
      <c r="B41" s="7">
        <v>378</v>
      </c>
      <c r="C41" s="3" t="s">
        <v>226</v>
      </c>
      <c r="D41" s="4">
        <v>9</v>
      </c>
      <c r="E41" s="3" t="s">
        <v>94</v>
      </c>
    </row>
    <row r="42" spans="1:5" x14ac:dyDescent="0.3">
      <c r="A42" s="8"/>
      <c r="B42" s="7"/>
      <c r="C42" s="3" t="s">
        <v>246</v>
      </c>
      <c r="D42" s="4">
        <v>2</v>
      </c>
      <c r="E42" s="3" t="s">
        <v>94</v>
      </c>
    </row>
    <row r="43" spans="1:5" x14ac:dyDescent="0.3">
      <c r="A43" s="8"/>
      <c r="B43" s="7"/>
      <c r="C43" s="3" t="s">
        <v>120</v>
      </c>
      <c r="D43" s="4">
        <v>2</v>
      </c>
      <c r="E43" s="3" t="s">
        <v>94</v>
      </c>
    </row>
    <row r="44" spans="1:5" x14ac:dyDescent="0.3">
      <c r="A44" s="8"/>
      <c r="B44" s="7"/>
      <c r="C44" s="3" t="s">
        <v>137</v>
      </c>
      <c r="D44" s="4">
        <v>1</v>
      </c>
      <c r="E44" s="3" t="s">
        <v>94</v>
      </c>
    </row>
    <row r="45" spans="1:5" x14ac:dyDescent="0.3">
      <c r="A45" s="8"/>
      <c r="B45" s="7"/>
      <c r="C45" s="3" t="s">
        <v>97</v>
      </c>
      <c r="D45" s="4">
        <v>1</v>
      </c>
      <c r="E45" s="3" t="s">
        <v>94</v>
      </c>
    </row>
    <row r="46" spans="1:5" x14ac:dyDescent="0.3">
      <c r="A46" s="8"/>
      <c r="B46" s="7"/>
      <c r="C46" s="3" t="s">
        <v>227</v>
      </c>
      <c r="D46" s="4">
        <v>10</v>
      </c>
      <c r="E46" s="3" t="s">
        <v>94</v>
      </c>
    </row>
    <row r="47" spans="1:5" x14ac:dyDescent="0.3">
      <c r="A47" s="8"/>
      <c r="B47" s="7"/>
      <c r="C47" s="3" t="s">
        <v>228</v>
      </c>
      <c r="D47" s="4">
        <v>4</v>
      </c>
      <c r="E47" s="3" t="s">
        <v>94</v>
      </c>
    </row>
    <row r="48" spans="1:5" x14ac:dyDescent="0.3">
      <c r="A48" s="8"/>
      <c r="B48" s="7"/>
      <c r="C48" s="3" t="s">
        <v>229</v>
      </c>
      <c r="D48" s="4">
        <v>125</v>
      </c>
      <c r="E48" s="3" t="s">
        <v>95</v>
      </c>
    </row>
    <row r="49" spans="1:5" x14ac:dyDescent="0.3">
      <c r="A49" s="8"/>
      <c r="B49" s="7"/>
      <c r="C49" s="3" t="s">
        <v>230</v>
      </c>
      <c r="D49" s="4">
        <v>200</v>
      </c>
      <c r="E49" s="3" t="s">
        <v>99</v>
      </c>
    </row>
    <row r="50" spans="1:5" x14ac:dyDescent="0.3">
      <c r="A50" s="8"/>
      <c r="B50" s="7"/>
      <c r="C50" s="3" t="s">
        <v>122</v>
      </c>
      <c r="D50" s="4">
        <v>1</v>
      </c>
      <c r="E50" s="3" t="s">
        <v>94</v>
      </c>
    </row>
    <row r="51" spans="1:5" x14ac:dyDescent="0.3">
      <c r="A51" s="8"/>
      <c r="B51" s="7"/>
      <c r="C51" s="3" t="s">
        <v>116</v>
      </c>
      <c r="D51" s="4">
        <v>1</v>
      </c>
      <c r="E51" s="3" t="s">
        <v>94</v>
      </c>
    </row>
    <row r="52" spans="1:5" x14ac:dyDescent="0.3">
      <c r="A52" s="8"/>
      <c r="B52" s="7"/>
      <c r="C52" s="3" t="s">
        <v>231</v>
      </c>
      <c r="D52" s="4">
        <v>1</v>
      </c>
      <c r="E52" s="3" t="s">
        <v>107</v>
      </c>
    </row>
    <row r="53" spans="1:5" x14ac:dyDescent="0.3">
      <c r="A53" s="8"/>
      <c r="B53" s="7"/>
      <c r="C53" s="3" t="s">
        <v>114</v>
      </c>
      <c r="D53" s="4">
        <v>1</v>
      </c>
      <c r="E53" s="3" t="s">
        <v>94</v>
      </c>
    </row>
    <row r="54" spans="1:5" x14ac:dyDescent="0.3">
      <c r="A54" s="8"/>
      <c r="B54" s="7"/>
      <c r="C54" s="3" t="s">
        <v>93</v>
      </c>
      <c r="D54" s="4">
        <v>50</v>
      </c>
      <c r="E54" s="3" t="s">
        <v>95</v>
      </c>
    </row>
    <row r="55" spans="1:5" x14ac:dyDescent="0.3">
      <c r="A55" s="8"/>
      <c r="B55" s="7"/>
      <c r="C55" s="3" t="s">
        <v>98</v>
      </c>
      <c r="D55" s="4">
        <v>700</v>
      </c>
      <c r="E55" s="3" t="s">
        <v>99</v>
      </c>
    </row>
    <row r="56" spans="1:5" x14ac:dyDescent="0.3">
      <c r="A56" s="8"/>
      <c r="B56" s="7"/>
      <c r="C56" s="3" t="s">
        <v>122</v>
      </c>
      <c r="D56" s="4">
        <v>2.5</v>
      </c>
      <c r="E56" s="3" t="s">
        <v>107</v>
      </c>
    </row>
    <row r="57" spans="1:5" x14ac:dyDescent="0.3">
      <c r="A57" s="8"/>
      <c r="B57" s="7"/>
      <c r="C57" s="3" t="s">
        <v>114</v>
      </c>
      <c r="D57" s="4">
        <v>1</v>
      </c>
      <c r="E57" s="3" t="s">
        <v>107</v>
      </c>
    </row>
    <row r="58" spans="1:5" x14ac:dyDescent="0.3">
      <c r="A58" s="8"/>
      <c r="B58" s="7"/>
      <c r="C58" s="3" t="s">
        <v>143</v>
      </c>
      <c r="D58" s="4">
        <v>1</v>
      </c>
      <c r="E58" s="3" t="s">
        <v>94</v>
      </c>
    </row>
    <row r="59" spans="1:5" x14ac:dyDescent="0.3">
      <c r="A59" s="8"/>
      <c r="B59" s="7"/>
      <c r="C59" s="3" t="s">
        <v>116</v>
      </c>
      <c r="D59" s="4">
        <v>1</v>
      </c>
      <c r="E59" s="3" t="s">
        <v>94</v>
      </c>
    </row>
    <row r="60" spans="1:5" x14ac:dyDescent="0.3">
      <c r="A60" s="8" t="s">
        <v>41</v>
      </c>
      <c r="B60" s="7">
        <v>382</v>
      </c>
      <c r="C60" s="3" t="s">
        <v>232</v>
      </c>
      <c r="D60" s="4">
        <v>400</v>
      </c>
      <c r="E60" s="3" t="s">
        <v>95</v>
      </c>
    </row>
    <row r="61" spans="1:5" x14ac:dyDescent="0.3">
      <c r="A61" s="8"/>
      <c r="B61" s="7"/>
      <c r="C61" s="3" t="s">
        <v>233</v>
      </c>
      <c r="D61" s="4">
        <v>500</v>
      </c>
      <c r="E61" s="3" t="s">
        <v>95</v>
      </c>
    </row>
    <row r="62" spans="1:5" x14ac:dyDescent="0.3">
      <c r="A62" s="8"/>
      <c r="B62" s="7"/>
      <c r="C62" s="3" t="s">
        <v>126</v>
      </c>
      <c r="D62" s="4">
        <v>3</v>
      </c>
      <c r="E62" s="3" t="s">
        <v>94</v>
      </c>
    </row>
    <row r="63" spans="1:5" x14ac:dyDescent="0.3">
      <c r="A63" s="8"/>
      <c r="B63" s="7"/>
      <c r="C63" s="3" t="s">
        <v>234</v>
      </c>
      <c r="D63" s="4">
        <v>200</v>
      </c>
      <c r="E63" s="3" t="s">
        <v>99</v>
      </c>
    </row>
    <row r="64" spans="1:5" x14ac:dyDescent="0.3">
      <c r="A64" s="8"/>
      <c r="B64" s="7"/>
      <c r="C64" s="3" t="s">
        <v>219</v>
      </c>
      <c r="D64" s="4">
        <v>160</v>
      </c>
      <c r="E64" s="3" t="s">
        <v>95</v>
      </c>
    </row>
    <row r="65" spans="1:5" x14ac:dyDescent="0.3">
      <c r="A65" s="8"/>
      <c r="B65" s="7"/>
      <c r="C65" s="3" t="s">
        <v>154</v>
      </c>
      <c r="D65" s="4">
        <v>125</v>
      </c>
      <c r="E65" s="3" t="s">
        <v>95</v>
      </c>
    </row>
    <row r="66" spans="1:5" x14ac:dyDescent="0.3">
      <c r="A66" s="8"/>
      <c r="B66" s="7"/>
      <c r="C66" s="3" t="s">
        <v>122</v>
      </c>
      <c r="D66" s="4">
        <v>1</v>
      </c>
      <c r="E66" s="3" t="s">
        <v>94</v>
      </c>
    </row>
    <row r="67" spans="1:5" x14ac:dyDescent="0.3">
      <c r="A67" s="8"/>
      <c r="B67" s="7"/>
      <c r="C67" s="3" t="s">
        <v>114</v>
      </c>
      <c r="D67" s="4">
        <v>1</v>
      </c>
      <c r="E67" s="3" t="s">
        <v>94</v>
      </c>
    </row>
    <row r="68" spans="1:5" x14ac:dyDescent="0.3">
      <c r="A68" s="8"/>
      <c r="B68" s="7"/>
      <c r="C68" s="3" t="s">
        <v>115</v>
      </c>
      <c r="D68" s="4">
        <v>1</v>
      </c>
      <c r="E68" s="3" t="s">
        <v>94</v>
      </c>
    </row>
    <row r="69" spans="1:5" x14ac:dyDescent="0.3">
      <c r="A69" s="8"/>
      <c r="B69" s="7"/>
      <c r="C69" s="3" t="s">
        <v>116</v>
      </c>
      <c r="D69" s="4">
        <v>1</v>
      </c>
      <c r="E69" s="3" t="s">
        <v>94</v>
      </c>
    </row>
    <row r="70" spans="1:5" x14ac:dyDescent="0.3">
      <c r="A70" s="8" t="s">
        <v>42</v>
      </c>
      <c r="B70" s="7">
        <v>386</v>
      </c>
      <c r="C70" s="3" t="s">
        <v>236</v>
      </c>
      <c r="D70" s="4">
        <v>320</v>
      </c>
      <c r="E70" s="3" t="s">
        <v>95</v>
      </c>
    </row>
    <row r="71" spans="1:5" x14ac:dyDescent="0.3">
      <c r="A71" s="8"/>
      <c r="B71" s="7"/>
      <c r="C71" s="3" t="s">
        <v>237</v>
      </c>
      <c r="D71" s="4">
        <v>400</v>
      </c>
      <c r="E71" s="3" t="s">
        <v>95</v>
      </c>
    </row>
    <row r="72" spans="1:5" x14ac:dyDescent="0.3">
      <c r="A72" s="8"/>
      <c r="B72" s="7"/>
      <c r="C72" s="3" t="s">
        <v>135</v>
      </c>
      <c r="D72" s="4">
        <v>0.5</v>
      </c>
      <c r="E72" s="3" t="s">
        <v>94</v>
      </c>
    </row>
    <row r="73" spans="1:5" x14ac:dyDescent="0.3">
      <c r="A73" s="8"/>
      <c r="B73" s="7"/>
      <c r="C73" s="3" t="s">
        <v>126</v>
      </c>
      <c r="D73" s="4">
        <v>2</v>
      </c>
      <c r="E73" s="3" t="s">
        <v>94</v>
      </c>
    </row>
    <row r="74" spans="1:5" x14ac:dyDescent="0.3">
      <c r="A74" s="8"/>
      <c r="B74" s="7"/>
      <c r="C74" s="3" t="s">
        <v>238</v>
      </c>
      <c r="D74" s="4">
        <v>3</v>
      </c>
      <c r="E74" s="3" t="s">
        <v>94</v>
      </c>
    </row>
    <row r="75" spans="1:5" x14ac:dyDescent="0.3">
      <c r="A75" s="8"/>
      <c r="B75" s="7"/>
      <c r="C75" s="3" t="s">
        <v>145</v>
      </c>
      <c r="D75" s="4">
        <v>50</v>
      </c>
      <c r="E75" s="3" t="s">
        <v>99</v>
      </c>
    </row>
    <row r="76" spans="1:5" x14ac:dyDescent="0.3">
      <c r="A76" s="8"/>
      <c r="B76" s="7"/>
      <c r="C76" s="3" t="s">
        <v>157</v>
      </c>
      <c r="D76" s="4">
        <v>60</v>
      </c>
      <c r="E76" s="3" t="s">
        <v>95</v>
      </c>
    </row>
    <row r="77" spans="1:5" x14ac:dyDescent="0.3">
      <c r="A77" s="8"/>
      <c r="B77" s="7"/>
      <c r="C77" s="3" t="s">
        <v>122</v>
      </c>
      <c r="D77" s="4">
        <v>1</v>
      </c>
      <c r="E77" s="3" t="s">
        <v>94</v>
      </c>
    </row>
    <row r="78" spans="1:5" x14ac:dyDescent="0.3">
      <c r="A78" s="8"/>
      <c r="B78" s="7"/>
      <c r="C78" s="3" t="s">
        <v>158</v>
      </c>
      <c r="D78" s="4">
        <v>1</v>
      </c>
      <c r="E78" s="3" t="s">
        <v>94</v>
      </c>
    </row>
    <row r="79" spans="1:5" x14ac:dyDescent="0.3">
      <c r="A79" s="8"/>
      <c r="B79" s="7"/>
      <c r="C79" s="3" t="s">
        <v>114</v>
      </c>
      <c r="D79" s="4">
        <v>1</v>
      </c>
      <c r="E79" s="3" t="s">
        <v>94</v>
      </c>
    </row>
    <row r="80" spans="1:5" x14ac:dyDescent="0.3">
      <c r="A80" s="8"/>
      <c r="B80" s="7"/>
      <c r="C80" s="3" t="s">
        <v>115</v>
      </c>
      <c r="D80" s="4">
        <v>1</v>
      </c>
      <c r="E80" s="3" t="s">
        <v>94</v>
      </c>
    </row>
    <row r="81" spans="1:10" x14ac:dyDescent="0.3">
      <c r="A81" s="8"/>
      <c r="B81" s="7"/>
      <c r="C81" s="3" t="s">
        <v>116</v>
      </c>
      <c r="D81" s="4">
        <v>1</v>
      </c>
      <c r="E81" s="3" t="s">
        <v>94</v>
      </c>
    </row>
    <row r="82" spans="1:10" x14ac:dyDescent="0.3">
      <c r="A82" s="8" t="s">
        <v>235</v>
      </c>
      <c r="B82" s="7">
        <v>387</v>
      </c>
      <c r="C82" s="3" t="s">
        <v>239</v>
      </c>
      <c r="D82" s="4">
        <v>250</v>
      </c>
      <c r="E82" s="3" t="s">
        <v>95</v>
      </c>
    </row>
    <row r="83" spans="1:10" x14ac:dyDescent="0.3">
      <c r="A83" s="8"/>
      <c r="B83" s="7"/>
      <c r="C83" s="3" t="s">
        <v>240</v>
      </c>
      <c r="D83" s="4">
        <v>2</v>
      </c>
      <c r="E83" s="3" t="s">
        <v>94</v>
      </c>
    </row>
    <row r="84" spans="1:10" x14ac:dyDescent="0.3">
      <c r="A84" s="8"/>
      <c r="B84" s="7"/>
      <c r="C84" s="3" t="s">
        <v>101</v>
      </c>
      <c r="D84" s="4">
        <v>1</v>
      </c>
      <c r="E84" s="3" t="s">
        <v>94</v>
      </c>
    </row>
    <row r="85" spans="1:10" x14ac:dyDescent="0.3">
      <c r="A85" s="8"/>
      <c r="B85" s="7"/>
      <c r="C85" s="3" t="s">
        <v>108</v>
      </c>
      <c r="D85" s="4">
        <v>1</v>
      </c>
      <c r="E85" s="3" t="s">
        <v>94</v>
      </c>
    </row>
    <row r="86" spans="1:10" x14ac:dyDescent="0.3">
      <c r="A86" s="8"/>
      <c r="B86" s="7"/>
      <c r="C86" s="3" t="s">
        <v>230</v>
      </c>
      <c r="D86" s="4">
        <v>250</v>
      </c>
      <c r="E86" s="3" t="s">
        <v>99</v>
      </c>
    </row>
    <row r="87" spans="1:10" x14ac:dyDescent="0.3">
      <c r="A87" s="8"/>
      <c r="B87" s="7"/>
      <c r="C87" s="3" t="s">
        <v>153</v>
      </c>
      <c r="D87" s="4">
        <v>4</v>
      </c>
      <c r="E87" s="3" t="s">
        <v>94</v>
      </c>
    </row>
    <row r="88" spans="1:10" x14ac:dyDescent="0.3">
      <c r="A88" s="8"/>
      <c r="B88" s="7"/>
      <c r="C88" s="3" t="s">
        <v>234</v>
      </c>
      <c r="D88" s="4">
        <v>200</v>
      </c>
      <c r="E88" s="3" t="s">
        <v>99</v>
      </c>
    </row>
    <row r="89" spans="1:10" x14ac:dyDescent="0.3">
      <c r="A89" s="8"/>
      <c r="B89" s="7"/>
      <c r="C89" s="3" t="s">
        <v>241</v>
      </c>
      <c r="D89" s="4">
        <v>1</v>
      </c>
      <c r="E89" s="3" t="s">
        <v>94</v>
      </c>
    </row>
    <row r="90" spans="1:10" x14ac:dyDescent="0.3">
      <c r="A90" s="8"/>
      <c r="B90" s="7"/>
      <c r="C90" s="3" t="s">
        <v>157</v>
      </c>
      <c r="D90" s="4">
        <v>100</v>
      </c>
      <c r="E90" s="3" t="s">
        <v>95</v>
      </c>
    </row>
    <row r="91" spans="1:10" x14ac:dyDescent="0.3">
      <c r="A91" s="8"/>
      <c r="B91" s="7"/>
      <c r="C91" s="3" t="s">
        <v>122</v>
      </c>
      <c r="D91" s="4">
        <v>1</v>
      </c>
      <c r="E91" s="3" t="s">
        <v>94</v>
      </c>
    </row>
    <row r="92" spans="1:10" x14ac:dyDescent="0.3">
      <c r="A92" s="8"/>
      <c r="B92" s="7"/>
      <c r="C92" s="3" t="s">
        <v>224</v>
      </c>
      <c r="D92" s="4">
        <v>10</v>
      </c>
      <c r="E92" s="3" t="s">
        <v>94</v>
      </c>
    </row>
    <row r="93" spans="1:10" x14ac:dyDescent="0.3">
      <c r="A93" s="8"/>
      <c r="B93" s="7"/>
      <c r="C93" s="3" t="s">
        <v>114</v>
      </c>
      <c r="D93" s="4">
        <v>1</v>
      </c>
      <c r="E93" s="3" t="s">
        <v>94</v>
      </c>
    </row>
    <row r="94" spans="1:10" x14ac:dyDescent="0.3">
      <c r="A94" s="8"/>
      <c r="B94" s="7"/>
      <c r="C94" s="3" t="s">
        <v>115</v>
      </c>
      <c r="D94" s="4">
        <v>1</v>
      </c>
      <c r="E94" s="3" t="s">
        <v>94</v>
      </c>
    </row>
    <row r="95" spans="1:10" x14ac:dyDescent="0.3">
      <c r="A95" s="8"/>
      <c r="B95" s="7"/>
      <c r="C95" s="3" t="s">
        <v>116</v>
      </c>
      <c r="D95" s="4">
        <v>1</v>
      </c>
      <c r="E95" s="3" t="s">
        <v>94</v>
      </c>
    </row>
    <row r="96" spans="1:10" x14ac:dyDescent="0.3">
      <c r="A96" s="8" t="s">
        <v>43</v>
      </c>
      <c r="B96" s="7">
        <v>389</v>
      </c>
      <c r="C96" s="3" t="s">
        <v>242</v>
      </c>
      <c r="D96" s="4">
        <v>400</v>
      </c>
      <c r="E96" s="3" t="s">
        <v>95</v>
      </c>
      <c r="H96" s="10"/>
      <c r="I96" s="11"/>
      <c r="J96" s="10"/>
    </row>
    <row r="97" spans="1:10" x14ac:dyDescent="0.3">
      <c r="A97" s="8"/>
      <c r="B97" s="7"/>
      <c r="C97" s="3" t="s">
        <v>193</v>
      </c>
      <c r="D97" s="4">
        <v>600</v>
      </c>
      <c r="E97" s="3" t="s">
        <v>95</v>
      </c>
      <c r="H97" s="10"/>
      <c r="I97" s="11"/>
      <c r="J97" s="10"/>
    </row>
    <row r="98" spans="1:10" x14ac:dyDescent="0.3">
      <c r="A98" s="8"/>
      <c r="B98" s="7"/>
      <c r="C98" s="3" t="s">
        <v>126</v>
      </c>
      <c r="D98" s="4">
        <v>3</v>
      </c>
      <c r="E98" s="3" t="s">
        <v>94</v>
      </c>
    </row>
    <row r="99" spans="1:10" x14ac:dyDescent="0.3">
      <c r="A99" s="8"/>
      <c r="B99" s="7"/>
      <c r="C99" s="3" t="s">
        <v>101</v>
      </c>
      <c r="D99" s="4">
        <v>2</v>
      </c>
      <c r="E99" s="3" t="s">
        <v>94</v>
      </c>
    </row>
    <row r="100" spans="1:10" x14ac:dyDescent="0.3">
      <c r="A100" s="8"/>
      <c r="B100" s="7"/>
      <c r="C100" s="3" t="s">
        <v>118</v>
      </c>
      <c r="D100" s="4">
        <v>3</v>
      </c>
      <c r="E100" s="3" t="s">
        <v>94</v>
      </c>
    </row>
    <row r="101" spans="1:10" x14ac:dyDescent="0.3">
      <c r="A101" s="8"/>
      <c r="B101" s="7"/>
      <c r="C101" s="3" t="s">
        <v>243</v>
      </c>
      <c r="D101" s="4">
        <v>40</v>
      </c>
      <c r="E101" s="3" t="s">
        <v>95</v>
      </c>
    </row>
    <row r="102" spans="1:10" x14ac:dyDescent="0.3">
      <c r="A102" s="8"/>
      <c r="B102" s="7"/>
      <c r="C102" s="3" t="s">
        <v>122</v>
      </c>
      <c r="D102" s="4">
        <v>1</v>
      </c>
      <c r="E102" s="3" t="s">
        <v>94</v>
      </c>
    </row>
    <row r="103" spans="1:10" x14ac:dyDescent="0.3">
      <c r="A103" s="8"/>
      <c r="B103" s="7"/>
      <c r="C103" s="3" t="s">
        <v>114</v>
      </c>
      <c r="D103" s="4">
        <v>1</v>
      </c>
      <c r="E103" s="3" t="s">
        <v>94</v>
      </c>
    </row>
    <row r="104" spans="1:10" x14ac:dyDescent="0.3">
      <c r="A104" s="8"/>
      <c r="B104" s="7"/>
      <c r="C104" s="3" t="s">
        <v>166</v>
      </c>
      <c r="D104" s="4">
        <v>0.5</v>
      </c>
      <c r="E104" s="3" t="s">
        <v>107</v>
      </c>
    </row>
    <row r="105" spans="1:10" x14ac:dyDescent="0.3">
      <c r="A105" s="8"/>
      <c r="B105" s="7"/>
      <c r="C105" s="3" t="s">
        <v>244</v>
      </c>
      <c r="D105" s="4">
        <v>0.5</v>
      </c>
      <c r="E105" s="3" t="s">
        <v>107</v>
      </c>
    </row>
    <row r="106" spans="1:10" x14ac:dyDescent="0.3">
      <c r="A106" s="8"/>
      <c r="B106" s="7"/>
      <c r="C106" s="3" t="s">
        <v>116</v>
      </c>
      <c r="D106" s="4">
        <v>1</v>
      </c>
      <c r="E106" s="3" t="s">
        <v>94</v>
      </c>
    </row>
    <row r="107" spans="1:10" x14ac:dyDescent="0.3">
      <c r="A107" s="8" t="s">
        <v>44</v>
      </c>
      <c r="B107" s="7">
        <v>390</v>
      </c>
      <c r="C107" s="3" t="s">
        <v>245</v>
      </c>
      <c r="D107" s="4">
        <v>400</v>
      </c>
      <c r="E107" s="3" t="s">
        <v>95</v>
      </c>
    </row>
    <row r="108" spans="1:10" x14ac:dyDescent="0.3">
      <c r="A108" s="8"/>
      <c r="B108" s="7"/>
      <c r="C108" s="3" t="s">
        <v>152</v>
      </c>
      <c r="D108" s="4">
        <v>400</v>
      </c>
      <c r="E108" s="3" t="s">
        <v>95</v>
      </c>
    </row>
    <row r="109" spans="1:10" x14ac:dyDescent="0.3">
      <c r="A109" s="8"/>
      <c r="B109" s="7"/>
      <c r="C109" s="3" t="s">
        <v>229</v>
      </c>
      <c r="D109" s="4">
        <v>100</v>
      </c>
      <c r="E109" s="3" t="s">
        <v>95</v>
      </c>
    </row>
    <row r="110" spans="1:10" x14ac:dyDescent="0.3">
      <c r="A110" s="8"/>
      <c r="B110" s="7"/>
      <c r="C110" s="3" t="s">
        <v>187</v>
      </c>
      <c r="D110" s="4">
        <v>250</v>
      </c>
      <c r="E110" s="3" t="s">
        <v>95</v>
      </c>
    </row>
    <row r="111" spans="1:10" x14ac:dyDescent="0.3">
      <c r="A111" s="8"/>
      <c r="B111" s="7"/>
      <c r="C111" s="3" t="s">
        <v>126</v>
      </c>
      <c r="D111" s="4">
        <v>3</v>
      </c>
      <c r="E111" s="3" t="s">
        <v>94</v>
      </c>
    </row>
    <row r="112" spans="1:10" x14ac:dyDescent="0.3">
      <c r="A112" s="8"/>
      <c r="B112" s="7"/>
      <c r="C112" s="3" t="s">
        <v>246</v>
      </c>
      <c r="D112" s="4">
        <v>1</v>
      </c>
      <c r="E112" s="3" t="s">
        <v>94</v>
      </c>
    </row>
    <row r="113" spans="1:5" x14ac:dyDescent="0.3">
      <c r="A113" s="8"/>
      <c r="B113" s="7"/>
      <c r="C113" s="3" t="s">
        <v>230</v>
      </c>
      <c r="D113" s="4">
        <v>500</v>
      </c>
      <c r="E113" s="3" t="s">
        <v>99</v>
      </c>
    </row>
    <row r="114" spans="1:5" x14ac:dyDescent="0.3">
      <c r="A114" s="8"/>
      <c r="B114" s="7"/>
      <c r="C114" s="3" t="s">
        <v>122</v>
      </c>
      <c r="D114" s="4">
        <v>1</v>
      </c>
      <c r="E114" s="3" t="s">
        <v>94</v>
      </c>
    </row>
    <row r="115" spans="1:5" x14ac:dyDescent="0.3">
      <c r="A115" s="8"/>
      <c r="B115" s="7"/>
      <c r="C115" s="3" t="s">
        <v>158</v>
      </c>
      <c r="D115" s="4">
        <v>1</v>
      </c>
      <c r="E115" s="3" t="s">
        <v>94</v>
      </c>
    </row>
    <row r="116" spans="1:5" x14ac:dyDescent="0.3">
      <c r="A116" s="8"/>
      <c r="B116" s="7"/>
      <c r="C116" s="3" t="s">
        <v>114</v>
      </c>
      <c r="D116" s="4">
        <v>1</v>
      </c>
      <c r="E116" s="3" t="s">
        <v>94</v>
      </c>
    </row>
    <row r="117" spans="1:5" x14ac:dyDescent="0.3">
      <c r="A117" s="8"/>
      <c r="B117" s="7"/>
      <c r="C117" s="3" t="s">
        <v>116</v>
      </c>
      <c r="D117" s="4">
        <v>1</v>
      </c>
      <c r="E117" s="3" t="s">
        <v>94</v>
      </c>
    </row>
    <row r="118" spans="1:5" x14ac:dyDescent="0.3">
      <c r="A118" s="8" t="s">
        <v>45</v>
      </c>
      <c r="B118" s="7">
        <v>393</v>
      </c>
      <c r="C118" s="3" t="s">
        <v>247</v>
      </c>
      <c r="D118" s="4">
        <v>400</v>
      </c>
      <c r="E118" s="3" t="s">
        <v>95</v>
      </c>
    </row>
    <row r="119" spans="1:5" x14ac:dyDescent="0.3">
      <c r="A119" s="8"/>
      <c r="B119" s="7"/>
      <c r="C119" s="3" t="s">
        <v>126</v>
      </c>
      <c r="D119" s="4">
        <v>4</v>
      </c>
      <c r="E119" s="3" t="s">
        <v>94</v>
      </c>
    </row>
    <row r="120" spans="1:5" x14ac:dyDescent="0.3">
      <c r="A120" s="8"/>
      <c r="B120" s="7"/>
      <c r="C120" s="3" t="s">
        <v>152</v>
      </c>
      <c r="D120" s="4">
        <v>150</v>
      </c>
      <c r="E120" s="3" t="s">
        <v>95</v>
      </c>
    </row>
    <row r="121" spans="1:5" x14ac:dyDescent="0.3">
      <c r="A121" s="8"/>
      <c r="B121" s="7"/>
      <c r="C121" s="3" t="s">
        <v>248</v>
      </c>
      <c r="D121" s="4">
        <v>4</v>
      </c>
      <c r="E121" s="3" t="s">
        <v>94</v>
      </c>
    </row>
    <row r="122" spans="1:5" x14ac:dyDescent="0.3">
      <c r="A122" s="8"/>
      <c r="B122" s="7"/>
      <c r="C122" s="3" t="s">
        <v>157</v>
      </c>
      <c r="D122" s="4">
        <v>100</v>
      </c>
      <c r="E122" s="3" t="s">
        <v>95</v>
      </c>
    </row>
    <row r="123" spans="1:5" x14ac:dyDescent="0.3">
      <c r="A123" s="8"/>
      <c r="B123" s="7"/>
      <c r="C123" s="3" t="s">
        <v>122</v>
      </c>
      <c r="D123" s="4">
        <v>1</v>
      </c>
      <c r="E123" s="3" t="s">
        <v>94</v>
      </c>
    </row>
    <row r="124" spans="1:5" x14ac:dyDescent="0.3">
      <c r="A124" s="8"/>
      <c r="B124" s="7"/>
      <c r="C124" s="3" t="s">
        <v>224</v>
      </c>
      <c r="D124" s="4">
        <v>20</v>
      </c>
      <c r="E124" s="3" t="s">
        <v>94</v>
      </c>
    </row>
    <row r="125" spans="1:5" x14ac:dyDescent="0.3">
      <c r="A125" s="8"/>
      <c r="B125" s="7"/>
      <c r="C125" s="3" t="s">
        <v>114</v>
      </c>
      <c r="D125" s="4">
        <v>1</v>
      </c>
      <c r="E125" s="3" t="s">
        <v>94</v>
      </c>
    </row>
    <row r="126" spans="1:5" x14ac:dyDescent="0.3">
      <c r="A126" s="8"/>
      <c r="B126" s="7"/>
      <c r="C126" s="3" t="s">
        <v>115</v>
      </c>
      <c r="D126" s="4">
        <v>1</v>
      </c>
      <c r="E126" s="3" t="s">
        <v>94</v>
      </c>
    </row>
    <row r="127" spans="1:5" x14ac:dyDescent="0.3">
      <c r="A127" s="8"/>
      <c r="B127" s="7"/>
      <c r="C127" s="3" t="s">
        <v>116</v>
      </c>
      <c r="D127" s="4">
        <v>1</v>
      </c>
      <c r="E127" s="3" t="s">
        <v>94</v>
      </c>
    </row>
    <row r="128" spans="1:5" x14ac:dyDescent="0.3">
      <c r="A128" s="8" t="s">
        <v>46</v>
      </c>
      <c r="B128" s="7">
        <v>394</v>
      </c>
      <c r="C128" s="3" t="s">
        <v>250</v>
      </c>
      <c r="D128" s="4">
        <v>16</v>
      </c>
      <c r="E128" s="3" t="s">
        <v>94</v>
      </c>
    </row>
    <row r="129" spans="1:5" x14ac:dyDescent="0.3">
      <c r="A129" s="8"/>
      <c r="B129" s="7"/>
      <c r="C129" s="3" t="s">
        <v>251</v>
      </c>
      <c r="D129" s="4">
        <v>400</v>
      </c>
      <c r="E129" s="3" t="s">
        <v>95</v>
      </c>
    </row>
    <row r="130" spans="1:5" x14ac:dyDescent="0.3">
      <c r="A130" s="8"/>
      <c r="B130" s="7"/>
      <c r="C130" s="3" t="s">
        <v>131</v>
      </c>
      <c r="D130" s="4">
        <v>2</v>
      </c>
      <c r="E130" s="3" t="s">
        <v>94</v>
      </c>
    </row>
    <row r="131" spans="1:5" x14ac:dyDescent="0.3">
      <c r="A131" s="8"/>
      <c r="B131" s="7"/>
      <c r="C131" s="3" t="s">
        <v>120</v>
      </c>
      <c r="D131" s="4">
        <v>2</v>
      </c>
      <c r="E131" s="3" t="s">
        <v>94</v>
      </c>
    </row>
    <row r="132" spans="1:5" x14ac:dyDescent="0.3">
      <c r="A132" s="8"/>
      <c r="B132" s="7"/>
      <c r="C132" s="3" t="s">
        <v>230</v>
      </c>
      <c r="D132" s="4">
        <v>150</v>
      </c>
      <c r="E132" s="3" t="s">
        <v>99</v>
      </c>
    </row>
    <row r="133" spans="1:5" x14ac:dyDescent="0.3">
      <c r="A133" s="8"/>
      <c r="B133" s="7"/>
      <c r="C133" s="3" t="s">
        <v>93</v>
      </c>
      <c r="D133" s="4">
        <v>60</v>
      </c>
      <c r="E133" s="3" t="s">
        <v>95</v>
      </c>
    </row>
    <row r="134" spans="1:5" x14ac:dyDescent="0.3">
      <c r="A134" s="8"/>
      <c r="B134" s="7"/>
      <c r="C134" s="3" t="s">
        <v>98</v>
      </c>
      <c r="D134" s="4">
        <v>300</v>
      </c>
      <c r="E134" s="3" t="s">
        <v>99</v>
      </c>
    </row>
    <row r="135" spans="1:5" x14ac:dyDescent="0.3">
      <c r="A135" s="8"/>
      <c r="B135" s="7"/>
      <c r="C135" s="3" t="s">
        <v>252</v>
      </c>
      <c r="D135" s="4">
        <v>400</v>
      </c>
      <c r="E135" s="3" t="s">
        <v>99</v>
      </c>
    </row>
    <row r="136" spans="1:5" x14ac:dyDescent="0.3">
      <c r="A136" s="8"/>
      <c r="B136" s="7"/>
      <c r="C136" s="3" t="s">
        <v>157</v>
      </c>
      <c r="D136" s="4">
        <v>80</v>
      </c>
      <c r="E136" s="3" t="s">
        <v>95</v>
      </c>
    </row>
    <row r="137" spans="1:5" x14ac:dyDescent="0.3">
      <c r="A137" s="8"/>
      <c r="B137" s="7"/>
      <c r="C137" s="3" t="s">
        <v>122</v>
      </c>
      <c r="D137" s="4">
        <v>1</v>
      </c>
      <c r="E137" s="3" t="s">
        <v>94</v>
      </c>
    </row>
    <row r="138" spans="1:5" x14ac:dyDescent="0.3">
      <c r="A138" s="8"/>
      <c r="B138" s="7"/>
      <c r="C138" s="3" t="s">
        <v>114</v>
      </c>
      <c r="D138" s="4">
        <v>1</v>
      </c>
      <c r="E138" s="3" t="s">
        <v>94</v>
      </c>
    </row>
    <row r="139" spans="1:5" x14ac:dyDescent="0.3">
      <c r="A139" s="8"/>
      <c r="B139" s="7"/>
      <c r="C139" s="3" t="s">
        <v>116</v>
      </c>
      <c r="D139" s="4">
        <v>1</v>
      </c>
      <c r="E139" s="3" t="s">
        <v>94</v>
      </c>
    </row>
    <row r="140" spans="1:5" x14ac:dyDescent="0.3">
      <c r="A140" s="8" t="s">
        <v>249</v>
      </c>
      <c r="B140" s="7">
        <v>394</v>
      </c>
      <c r="C140" s="3" t="s">
        <v>245</v>
      </c>
      <c r="D140" s="4">
        <v>300</v>
      </c>
      <c r="E140" s="3" t="s">
        <v>95</v>
      </c>
    </row>
    <row r="141" spans="1:5" x14ac:dyDescent="0.3">
      <c r="A141" s="8"/>
      <c r="B141" s="7"/>
      <c r="C141" s="3" t="s">
        <v>253</v>
      </c>
      <c r="D141" s="4">
        <v>100</v>
      </c>
      <c r="E141" s="3" t="s">
        <v>95</v>
      </c>
    </row>
    <row r="142" spans="1:5" x14ac:dyDescent="0.3">
      <c r="A142" s="8"/>
      <c r="B142" s="7"/>
      <c r="C142" s="3" t="s">
        <v>152</v>
      </c>
      <c r="D142" s="4">
        <v>100</v>
      </c>
      <c r="E142" s="3" t="s">
        <v>95</v>
      </c>
    </row>
    <row r="143" spans="1:5" x14ac:dyDescent="0.3">
      <c r="A143" s="8"/>
      <c r="B143" s="7"/>
      <c r="C143" s="3" t="s">
        <v>126</v>
      </c>
      <c r="D143" s="4">
        <v>2</v>
      </c>
      <c r="E143" s="3" t="s">
        <v>94</v>
      </c>
    </row>
    <row r="144" spans="1:5" x14ac:dyDescent="0.3">
      <c r="A144" s="8"/>
      <c r="B144" s="7"/>
      <c r="C144" s="3" t="s">
        <v>122</v>
      </c>
      <c r="D144" s="4">
        <v>1</v>
      </c>
      <c r="E144" s="3" t="s">
        <v>94</v>
      </c>
    </row>
    <row r="145" spans="1:5" x14ac:dyDescent="0.3">
      <c r="A145" s="8"/>
      <c r="B145" s="7"/>
      <c r="C145" s="3" t="s">
        <v>114</v>
      </c>
      <c r="D145" s="4">
        <v>1</v>
      </c>
      <c r="E145" s="3" t="s">
        <v>94</v>
      </c>
    </row>
    <row r="146" spans="1:5" x14ac:dyDescent="0.3">
      <c r="A146" s="8"/>
      <c r="B146" s="7"/>
      <c r="C146" s="3" t="s">
        <v>254</v>
      </c>
      <c r="D146" s="4">
        <v>1</v>
      </c>
      <c r="E146" s="3" t="s">
        <v>94</v>
      </c>
    </row>
    <row r="147" spans="1:5" x14ac:dyDescent="0.3">
      <c r="A147" s="8"/>
      <c r="B147" s="7"/>
      <c r="C147" s="3" t="s">
        <v>116</v>
      </c>
      <c r="D147" s="4">
        <v>1</v>
      </c>
      <c r="E147" s="3" t="s">
        <v>94</v>
      </c>
    </row>
  </sheetData>
  <mergeCells count="24">
    <mergeCell ref="B128:B139"/>
    <mergeCell ref="A128:A139"/>
    <mergeCell ref="B140:B147"/>
    <mergeCell ref="A140:A147"/>
    <mergeCell ref="B60:B69"/>
    <mergeCell ref="A2:A21"/>
    <mergeCell ref="A22:A30"/>
    <mergeCell ref="B2:B21"/>
    <mergeCell ref="B22:B30"/>
    <mergeCell ref="B41:B59"/>
    <mergeCell ref="A41:A59"/>
    <mergeCell ref="A70:A81"/>
    <mergeCell ref="B70:B81"/>
    <mergeCell ref="B82:B95"/>
    <mergeCell ref="A82:A95"/>
    <mergeCell ref="B96:B106"/>
    <mergeCell ref="A96:A106"/>
    <mergeCell ref="B107:B117"/>
    <mergeCell ref="B118:B127"/>
    <mergeCell ref="A31:A40"/>
    <mergeCell ref="B31:B40"/>
    <mergeCell ref="A118:A127"/>
    <mergeCell ref="A107:A117"/>
    <mergeCell ref="A60:A69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F82031-06AF-4610-869E-49E4A07638EE}">
          <x14:formula1>
            <xm:f>Otros!$B$3:$B$6</xm:f>
          </x14:formula1>
          <xm:sqref>J96:J97 E2:E152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87E52-34BE-4D32-89D2-293A571DE9C0}">
  <dimension ref="A1:E216"/>
  <sheetViews>
    <sheetView workbookViewId="0">
      <pane ySplit="1" topLeftCell="A2" activePane="bottomLeft" state="frozen"/>
      <selection activeCell="B2" sqref="B2:B28"/>
      <selection pane="bottomLeft" activeCell="B2" sqref="B2:B28"/>
    </sheetView>
  </sheetViews>
  <sheetFormatPr baseColWidth="10" defaultRowHeight="14.4" x14ac:dyDescent="0.3"/>
  <cols>
    <col min="1" max="1" width="44" style="9" bestFit="1" customWidth="1"/>
    <col min="2" max="2" width="10.33203125" style="10" customWidth="1"/>
    <col min="3" max="3" width="22.109375" style="10" bestFit="1" customWidth="1"/>
    <col min="4" max="4" width="11.5546875" style="11"/>
    <col min="5" max="5" width="11.5546875" style="10"/>
    <col min="6" max="16384" width="11.5546875" style="12"/>
  </cols>
  <sheetData>
    <row r="1" spans="1:5" x14ac:dyDescent="0.3">
      <c r="A1" s="3" t="str">
        <f>Sopas!A1</f>
        <v>Plato</v>
      </c>
      <c r="B1" s="3" t="s">
        <v>225</v>
      </c>
      <c r="C1" s="3" t="str">
        <f>Sopas!C1</f>
        <v>Ingredientes</v>
      </c>
      <c r="D1" s="4" t="str">
        <f>Sopas!D1</f>
        <v>Cantidades</v>
      </c>
      <c r="E1" s="3" t="str">
        <f>Sopas!E1</f>
        <v>Unidades</v>
      </c>
    </row>
    <row r="2" spans="1:5" x14ac:dyDescent="0.3">
      <c r="A2" s="8" t="s">
        <v>48</v>
      </c>
      <c r="B2" s="7">
        <v>400</v>
      </c>
      <c r="C2" s="3" t="s">
        <v>255</v>
      </c>
      <c r="D2" s="4">
        <v>700</v>
      </c>
      <c r="E2" s="3" t="s">
        <v>95</v>
      </c>
    </row>
    <row r="3" spans="1:5" x14ac:dyDescent="0.3">
      <c r="A3" s="8"/>
      <c r="B3" s="7"/>
      <c r="C3" s="3" t="s">
        <v>222</v>
      </c>
      <c r="D3" s="4">
        <v>700</v>
      </c>
      <c r="E3" s="3" t="s">
        <v>95</v>
      </c>
    </row>
    <row r="4" spans="1:5" x14ac:dyDescent="0.3">
      <c r="A4" s="8"/>
      <c r="B4" s="7"/>
      <c r="C4" s="3" t="s">
        <v>144</v>
      </c>
      <c r="D4" s="4">
        <v>4</v>
      </c>
      <c r="E4" s="3" t="s">
        <v>94</v>
      </c>
    </row>
    <row r="5" spans="1:5" x14ac:dyDescent="0.3">
      <c r="A5" s="8"/>
      <c r="B5" s="7"/>
      <c r="C5" s="3" t="s">
        <v>125</v>
      </c>
      <c r="D5" s="4">
        <v>50</v>
      </c>
      <c r="E5" s="3" t="s">
        <v>95</v>
      </c>
    </row>
    <row r="6" spans="1:5" x14ac:dyDescent="0.3">
      <c r="A6" s="8"/>
      <c r="B6" s="7"/>
      <c r="C6" s="3" t="s">
        <v>145</v>
      </c>
      <c r="D6" s="4">
        <v>150</v>
      </c>
      <c r="E6" s="3" t="s">
        <v>99</v>
      </c>
    </row>
    <row r="7" spans="1:5" x14ac:dyDescent="0.3">
      <c r="A7" s="8"/>
      <c r="B7" s="7"/>
      <c r="C7" s="3" t="s">
        <v>98</v>
      </c>
      <c r="D7" s="4">
        <v>125</v>
      </c>
      <c r="E7" s="3" t="s">
        <v>99</v>
      </c>
    </row>
    <row r="8" spans="1:5" x14ac:dyDescent="0.3">
      <c r="A8" s="8"/>
      <c r="B8" s="7"/>
      <c r="C8" s="3" t="s">
        <v>126</v>
      </c>
      <c r="D8" s="4">
        <v>2</v>
      </c>
      <c r="E8" s="3" t="s">
        <v>94</v>
      </c>
    </row>
    <row r="9" spans="1:5" x14ac:dyDescent="0.3">
      <c r="A9" s="8"/>
      <c r="B9" s="7"/>
      <c r="C9" s="3" t="s">
        <v>248</v>
      </c>
      <c r="D9" s="4">
        <v>1</v>
      </c>
      <c r="E9" s="3" t="s">
        <v>94</v>
      </c>
    </row>
    <row r="10" spans="1:5" x14ac:dyDescent="0.3">
      <c r="A10" s="8"/>
      <c r="B10" s="7"/>
      <c r="C10" s="3" t="s">
        <v>93</v>
      </c>
      <c r="D10" s="4">
        <v>1</v>
      </c>
      <c r="E10" s="3" t="s">
        <v>94</v>
      </c>
    </row>
    <row r="11" spans="1:5" x14ac:dyDescent="0.3">
      <c r="A11" s="8"/>
      <c r="B11" s="7"/>
      <c r="C11" s="3" t="s">
        <v>122</v>
      </c>
      <c r="D11" s="4">
        <v>1</v>
      </c>
      <c r="E11" s="3" t="s">
        <v>94</v>
      </c>
    </row>
    <row r="12" spans="1:5" x14ac:dyDescent="0.3">
      <c r="A12" s="8"/>
      <c r="B12" s="7"/>
      <c r="C12" s="3" t="s">
        <v>114</v>
      </c>
      <c r="D12" s="4">
        <v>1</v>
      </c>
      <c r="E12" s="3" t="s">
        <v>94</v>
      </c>
    </row>
    <row r="13" spans="1:5" x14ac:dyDescent="0.3">
      <c r="A13" s="8"/>
      <c r="B13" s="7"/>
      <c r="C13" s="3" t="s">
        <v>115</v>
      </c>
      <c r="D13" s="4">
        <v>1</v>
      </c>
      <c r="E13" s="3" t="s">
        <v>94</v>
      </c>
    </row>
    <row r="14" spans="1:5" x14ac:dyDescent="0.3">
      <c r="A14" s="8"/>
      <c r="B14" s="7"/>
      <c r="C14" s="3" t="s">
        <v>116</v>
      </c>
      <c r="D14" s="4">
        <v>1</v>
      </c>
      <c r="E14" s="3" t="s">
        <v>94</v>
      </c>
    </row>
    <row r="15" spans="1:5" x14ac:dyDescent="0.3">
      <c r="A15" s="8" t="s">
        <v>49</v>
      </c>
      <c r="B15" s="7">
        <v>402</v>
      </c>
      <c r="C15" s="3" t="s">
        <v>255</v>
      </c>
      <c r="D15" s="4">
        <v>700</v>
      </c>
      <c r="E15" s="3" t="s">
        <v>95</v>
      </c>
    </row>
    <row r="16" spans="1:5" x14ac:dyDescent="0.3">
      <c r="A16" s="8"/>
      <c r="B16" s="7"/>
      <c r="C16" s="3" t="s">
        <v>125</v>
      </c>
      <c r="D16" s="4">
        <v>100</v>
      </c>
      <c r="E16" s="3" t="s">
        <v>95</v>
      </c>
    </row>
    <row r="17" spans="1:5" x14ac:dyDescent="0.3">
      <c r="A17" s="8"/>
      <c r="B17" s="7"/>
      <c r="C17" s="3" t="s">
        <v>98</v>
      </c>
      <c r="D17" s="4">
        <v>200</v>
      </c>
      <c r="E17" s="3" t="s">
        <v>99</v>
      </c>
    </row>
    <row r="18" spans="1:5" x14ac:dyDescent="0.3">
      <c r="A18" s="8"/>
      <c r="B18" s="7"/>
      <c r="C18" s="3" t="s">
        <v>126</v>
      </c>
      <c r="D18" s="4">
        <v>3</v>
      </c>
      <c r="E18" s="3" t="s">
        <v>94</v>
      </c>
    </row>
    <row r="19" spans="1:5" x14ac:dyDescent="0.3">
      <c r="A19" s="8"/>
      <c r="B19" s="7"/>
      <c r="C19" s="3" t="s">
        <v>248</v>
      </c>
      <c r="D19" s="4">
        <v>2</v>
      </c>
      <c r="E19" s="3" t="s">
        <v>94</v>
      </c>
    </row>
    <row r="20" spans="1:5" x14ac:dyDescent="0.3">
      <c r="A20" s="8"/>
      <c r="B20" s="7"/>
      <c r="C20" s="3" t="s">
        <v>92</v>
      </c>
      <c r="D20" s="4">
        <v>0.5</v>
      </c>
      <c r="E20" s="3" t="s">
        <v>94</v>
      </c>
    </row>
    <row r="21" spans="1:5" x14ac:dyDescent="0.3">
      <c r="A21" s="8"/>
      <c r="B21" s="7"/>
      <c r="C21" s="3" t="s">
        <v>93</v>
      </c>
      <c r="D21" s="4">
        <v>1</v>
      </c>
      <c r="E21" s="3" t="s">
        <v>94</v>
      </c>
    </row>
    <row r="22" spans="1:5" x14ac:dyDescent="0.3">
      <c r="A22" s="8"/>
      <c r="B22" s="7"/>
      <c r="C22" s="3" t="s">
        <v>122</v>
      </c>
      <c r="D22" s="4">
        <v>1</v>
      </c>
      <c r="E22" s="3" t="s">
        <v>94</v>
      </c>
    </row>
    <row r="23" spans="1:5" x14ac:dyDescent="0.3">
      <c r="A23" s="8"/>
      <c r="B23" s="7"/>
      <c r="C23" s="3" t="s">
        <v>114</v>
      </c>
      <c r="D23" s="4">
        <v>1</v>
      </c>
      <c r="E23" s="3" t="s">
        <v>94</v>
      </c>
    </row>
    <row r="24" spans="1:5" x14ac:dyDescent="0.3">
      <c r="A24" s="8"/>
      <c r="B24" s="7"/>
      <c r="C24" s="3" t="s">
        <v>115</v>
      </c>
      <c r="D24" s="4">
        <v>1</v>
      </c>
      <c r="E24" s="3" t="s">
        <v>94</v>
      </c>
    </row>
    <row r="25" spans="1:5" x14ac:dyDescent="0.3">
      <c r="A25" s="8"/>
      <c r="B25" s="7"/>
      <c r="C25" s="3" t="s">
        <v>116</v>
      </c>
      <c r="D25" s="4">
        <v>1</v>
      </c>
      <c r="E25" s="3" t="s">
        <v>94</v>
      </c>
    </row>
    <row r="26" spans="1:5" x14ac:dyDescent="0.3">
      <c r="A26" s="8"/>
      <c r="B26" s="7"/>
      <c r="C26" s="3" t="s">
        <v>257</v>
      </c>
      <c r="D26" s="4">
        <v>150</v>
      </c>
      <c r="E26" s="3" t="s">
        <v>95</v>
      </c>
    </row>
    <row r="27" spans="1:5" x14ac:dyDescent="0.3">
      <c r="A27" s="8"/>
      <c r="B27" s="7"/>
      <c r="C27" s="3" t="s">
        <v>101</v>
      </c>
      <c r="D27" s="4">
        <v>1</v>
      </c>
      <c r="E27" s="3" t="s">
        <v>94</v>
      </c>
    </row>
    <row r="28" spans="1:5" x14ac:dyDescent="0.3">
      <c r="A28" s="8"/>
      <c r="B28" s="7"/>
      <c r="C28" s="3" t="s">
        <v>238</v>
      </c>
      <c r="D28" s="4">
        <v>2</v>
      </c>
      <c r="E28" s="3" t="s">
        <v>94</v>
      </c>
    </row>
    <row r="29" spans="1:5" x14ac:dyDescent="0.3">
      <c r="A29" s="8"/>
      <c r="B29" s="7"/>
      <c r="C29" s="3" t="s">
        <v>145</v>
      </c>
      <c r="D29" s="4">
        <v>100</v>
      </c>
      <c r="E29" s="3" t="s">
        <v>99</v>
      </c>
    </row>
    <row r="30" spans="1:5" x14ac:dyDescent="0.3">
      <c r="A30" s="8"/>
      <c r="B30" s="7"/>
      <c r="C30" s="3" t="s">
        <v>258</v>
      </c>
      <c r="D30" s="4">
        <v>1</v>
      </c>
      <c r="E30" s="3" t="s">
        <v>94</v>
      </c>
    </row>
    <row r="31" spans="1:5" x14ac:dyDescent="0.3">
      <c r="A31" s="8"/>
      <c r="B31" s="7"/>
      <c r="C31" s="3" t="s">
        <v>161</v>
      </c>
      <c r="D31" s="4">
        <v>1</v>
      </c>
      <c r="E31" s="3" t="s">
        <v>94</v>
      </c>
    </row>
    <row r="32" spans="1:5" x14ac:dyDescent="0.3">
      <c r="A32" s="8"/>
      <c r="B32" s="7"/>
      <c r="C32" s="3" t="s">
        <v>123</v>
      </c>
      <c r="D32" s="4">
        <v>1</v>
      </c>
      <c r="E32" s="3" t="s">
        <v>107</v>
      </c>
    </row>
    <row r="33" spans="1:5" x14ac:dyDescent="0.3">
      <c r="A33" s="8"/>
      <c r="B33" s="7"/>
      <c r="C33" s="3" t="s">
        <v>115</v>
      </c>
      <c r="D33" s="4">
        <v>0.5</v>
      </c>
      <c r="E33" s="3" t="s">
        <v>107</v>
      </c>
    </row>
    <row r="34" spans="1:5" x14ac:dyDescent="0.3">
      <c r="A34" s="8"/>
      <c r="B34" s="7"/>
      <c r="C34" s="3" t="s">
        <v>259</v>
      </c>
      <c r="D34" s="4">
        <v>1</v>
      </c>
      <c r="E34" s="3" t="s">
        <v>107</v>
      </c>
    </row>
    <row r="35" spans="1:5" x14ac:dyDescent="0.3">
      <c r="A35" s="8"/>
      <c r="B35" s="7"/>
      <c r="C35" s="3" t="s">
        <v>116</v>
      </c>
      <c r="D35" s="4">
        <v>1</v>
      </c>
      <c r="E35" s="3" t="s">
        <v>94</v>
      </c>
    </row>
    <row r="36" spans="1:5" x14ac:dyDescent="0.3">
      <c r="A36" s="8" t="s">
        <v>50</v>
      </c>
      <c r="B36" s="7">
        <v>404</v>
      </c>
      <c r="C36" s="3" t="s">
        <v>260</v>
      </c>
      <c r="D36" s="4">
        <v>1</v>
      </c>
      <c r="E36" s="3" t="s">
        <v>94</v>
      </c>
    </row>
    <row r="37" spans="1:5" x14ac:dyDescent="0.3">
      <c r="A37" s="8"/>
      <c r="B37" s="7"/>
      <c r="C37" s="3" t="s">
        <v>204</v>
      </c>
      <c r="D37" s="4">
        <v>6</v>
      </c>
      <c r="E37" s="3" t="s">
        <v>94</v>
      </c>
    </row>
    <row r="38" spans="1:5" x14ac:dyDescent="0.3">
      <c r="A38" s="8"/>
      <c r="B38" s="7"/>
      <c r="C38" s="3" t="s">
        <v>153</v>
      </c>
      <c r="D38" s="4">
        <v>3</v>
      </c>
      <c r="E38" s="3" t="s">
        <v>94</v>
      </c>
    </row>
    <row r="39" spans="1:5" x14ac:dyDescent="0.3">
      <c r="A39" s="8"/>
      <c r="B39" s="7"/>
      <c r="C39" s="3" t="s">
        <v>126</v>
      </c>
      <c r="D39" s="4">
        <v>2</v>
      </c>
      <c r="E39" s="3" t="s">
        <v>94</v>
      </c>
    </row>
    <row r="40" spans="1:5" x14ac:dyDescent="0.3">
      <c r="A40" s="8"/>
      <c r="B40" s="7"/>
      <c r="C40" s="3" t="s">
        <v>101</v>
      </c>
      <c r="D40" s="4">
        <v>1</v>
      </c>
      <c r="E40" s="3" t="s">
        <v>94</v>
      </c>
    </row>
    <row r="41" spans="1:5" x14ac:dyDescent="0.3">
      <c r="A41" s="8"/>
      <c r="B41" s="7"/>
      <c r="C41" s="3" t="s">
        <v>120</v>
      </c>
      <c r="D41" s="4">
        <v>2</v>
      </c>
      <c r="E41" s="3" t="s">
        <v>94</v>
      </c>
    </row>
    <row r="42" spans="1:5" x14ac:dyDescent="0.3">
      <c r="A42" s="8"/>
      <c r="B42" s="7"/>
      <c r="C42" s="3" t="s">
        <v>261</v>
      </c>
      <c r="D42" s="4">
        <v>24</v>
      </c>
      <c r="E42" s="3" t="s">
        <v>94</v>
      </c>
    </row>
    <row r="43" spans="1:5" x14ac:dyDescent="0.3">
      <c r="A43" s="8"/>
      <c r="B43" s="7"/>
      <c r="C43" s="3" t="s">
        <v>145</v>
      </c>
      <c r="D43" s="4">
        <v>150</v>
      </c>
      <c r="E43" s="3" t="s">
        <v>99</v>
      </c>
    </row>
    <row r="44" spans="1:5" x14ac:dyDescent="0.3">
      <c r="A44" s="8"/>
      <c r="B44" s="7"/>
      <c r="C44" s="3" t="s">
        <v>122</v>
      </c>
      <c r="D44" s="4">
        <v>1</v>
      </c>
      <c r="E44" s="3" t="s">
        <v>94</v>
      </c>
    </row>
    <row r="45" spans="1:5" x14ac:dyDescent="0.3">
      <c r="A45" s="8"/>
      <c r="B45" s="7"/>
      <c r="C45" s="3" t="s">
        <v>114</v>
      </c>
      <c r="D45" s="4">
        <v>1</v>
      </c>
      <c r="E45" s="3" t="s">
        <v>94</v>
      </c>
    </row>
    <row r="46" spans="1:5" x14ac:dyDescent="0.3">
      <c r="A46" s="8"/>
      <c r="B46" s="7"/>
      <c r="C46" s="3" t="s">
        <v>115</v>
      </c>
      <c r="D46" s="4">
        <v>1</v>
      </c>
      <c r="E46" s="3" t="s">
        <v>94</v>
      </c>
    </row>
    <row r="47" spans="1:5" x14ac:dyDescent="0.3">
      <c r="A47" s="8"/>
      <c r="B47" s="7"/>
      <c r="C47" s="3" t="s">
        <v>116</v>
      </c>
      <c r="D47" s="4">
        <v>1</v>
      </c>
      <c r="E47" s="3" t="s">
        <v>94</v>
      </c>
    </row>
    <row r="48" spans="1:5" x14ac:dyDescent="0.3">
      <c r="A48" s="8" t="s">
        <v>51</v>
      </c>
      <c r="B48" s="7">
        <v>410</v>
      </c>
      <c r="C48" s="3" t="s">
        <v>135</v>
      </c>
      <c r="D48" s="4">
        <v>700</v>
      </c>
      <c r="E48" s="3" t="s">
        <v>95</v>
      </c>
    </row>
    <row r="49" spans="1:5" x14ac:dyDescent="0.3">
      <c r="A49" s="8"/>
      <c r="B49" s="7"/>
      <c r="C49" s="3" t="s">
        <v>131</v>
      </c>
      <c r="D49" s="4">
        <v>1</v>
      </c>
      <c r="E49" s="3" t="s">
        <v>94</v>
      </c>
    </row>
    <row r="50" spans="1:5" x14ac:dyDescent="0.3">
      <c r="A50" s="8"/>
      <c r="B50" s="7"/>
      <c r="C50" s="3" t="s">
        <v>180</v>
      </c>
      <c r="D50" s="4">
        <v>20</v>
      </c>
      <c r="E50" s="3" t="s">
        <v>95</v>
      </c>
    </row>
    <row r="51" spans="1:5" x14ac:dyDescent="0.3">
      <c r="A51" s="8"/>
      <c r="B51" s="7"/>
      <c r="C51" s="3" t="s">
        <v>153</v>
      </c>
      <c r="D51" s="4">
        <v>1</v>
      </c>
      <c r="E51" s="3" t="s">
        <v>94</v>
      </c>
    </row>
    <row r="52" spans="1:5" x14ac:dyDescent="0.3">
      <c r="A52" s="8"/>
      <c r="B52" s="7"/>
      <c r="C52" s="3" t="s">
        <v>146</v>
      </c>
      <c r="D52" s="4">
        <v>100</v>
      </c>
      <c r="E52" s="3" t="s">
        <v>95</v>
      </c>
    </row>
    <row r="53" spans="1:5" x14ac:dyDescent="0.3">
      <c r="A53" s="8"/>
      <c r="B53" s="7"/>
      <c r="C53" s="3" t="s">
        <v>262</v>
      </c>
      <c r="D53" s="4">
        <v>1</v>
      </c>
      <c r="E53" s="3" t="s">
        <v>94</v>
      </c>
    </row>
    <row r="54" spans="1:5" x14ac:dyDescent="0.3">
      <c r="A54" s="8"/>
      <c r="B54" s="7"/>
      <c r="C54" s="3" t="s">
        <v>122</v>
      </c>
      <c r="D54" s="4">
        <v>1</v>
      </c>
      <c r="E54" s="3" t="s">
        <v>94</v>
      </c>
    </row>
    <row r="55" spans="1:5" x14ac:dyDescent="0.3">
      <c r="A55" s="8"/>
      <c r="B55" s="7"/>
      <c r="C55" s="3" t="s">
        <v>121</v>
      </c>
      <c r="D55" s="4">
        <v>1</v>
      </c>
      <c r="E55" s="3" t="s">
        <v>94</v>
      </c>
    </row>
    <row r="56" spans="1:5" x14ac:dyDescent="0.3">
      <c r="A56" s="8"/>
      <c r="B56" s="7"/>
      <c r="C56" s="3" t="s">
        <v>114</v>
      </c>
      <c r="D56" s="4">
        <v>1</v>
      </c>
      <c r="E56" s="3" t="s">
        <v>94</v>
      </c>
    </row>
    <row r="57" spans="1:5" x14ac:dyDescent="0.3">
      <c r="A57" s="8"/>
      <c r="B57" s="7"/>
      <c r="C57" s="3" t="s">
        <v>115</v>
      </c>
      <c r="D57" s="4">
        <v>1</v>
      </c>
      <c r="E57" s="3" t="s">
        <v>94</v>
      </c>
    </row>
    <row r="58" spans="1:5" x14ac:dyDescent="0.3">
      <c r="A58" s="8"/>
      <c r="B58" s="7"/>
      <c r="C58" s="3" t="s">
        <v>116</v>
      </c>
      <c r="D58" s="4">
        <v>1</v>
      </c>
      <c r="E58" s="3" t="s">
        <v>94</v>
      </c>
    </row>
    <row r="59" spans="1:5" x14ac:dyDescent="0.3">
      <c r="A59" s="8"/>
      <c r="B59" s="7"/>
      <c r="C59" s="3" t="s">
        <v>136</v>
      </c>
      <c r="D59" s="4">
        <v>35</v>
      </c>
      <c r="E59" s="3" t="s">
        <v>99</v>
      </c>
    </row>
    <row r="60" spans="1:5" x14ac:dyDescent="0.3">
      <c r="A60" s="8"/>
      <c r="B60" s="7"/>
      <c r="C60" s="3" t="s">
        <v>263</v>
      </c>
      <c r="D60" s="4">
        <v>25</v>
      </c>
      <c r="E60" s="3" t="s">
        <v>95</v>
      </c>
    </row>
    <row r="61" spans="1:5" x14ac:dyDescent="0.3">
      <c r="A61" s="8"/>
      <c r="B61" s="7"/>
      <c r="C61" s="3" t="s">
        <v>264</v>
      </c>
      <c r="D61" s="4">
        <v>35</v>
      </c>
      <c r="E61" s="3" t="s">
        <v>99</v>
      </c>
    </row>
    <row r="62" spans="1:5" x14ac:dyDescent="0.3">
      <c r="A62" s="8"/>
      <c r="B62" s="7"/>
      <c r="C62" s="3" t="s">
        <v>265</v>
      </c>
      <c r="D62" s="4">
        <v>35</v>
      </c>
      <c r="E62" s="3" t="s">
        <v>99</v>
      </c>
    </row>
    <row r="63" spans="1:5" x14ac:dyDescent="0.3">
      <c r="A63" s="8"/>
      <c r="B63" s="7"/>
      <c r="C63" s="3" t="s">
        <v>266</v>
      </c>
      <c r="D63" s="4">
        <v>0.5</v>
      </c>
      <c r="E63" s="3" t="s">
        <v>107</v>
      </c>
    </row>
    <row r="64" spans="1:5" x14ac:dyDescent="0.3">
      <c r="A64" s="8"/>
      <c r="B64" s="7"/>
      <c r="C64" s="3" t="s">
        <v>180</v>
      </c>
      <c r="D64" s="4">
        <v>20</v>
      </c>
      <c r="E64" s="3" t="s">
        <v>95</v>
      </c>
    </row>
    <row r="65" spans="1:5" x14ac:dyDescent="0.3">
      <c r="A65" s="8"/>
      <c r="B65" s="7"/>
      <c r="C65" s="3" t="s">
        <v>246</v>
      </c>
      <c r="D65" s="4">
        <v>2</v>
      </c>
      <c r="E65" s="3" t="s">
        <v>94</v>
      </c>
    </row>
    <row r="66" spans="1:5" x14ac:dyDescent="0.3">
      <c r="A66" s="8" t="s">
        <v>52</v>
      </c>
      <c r="B66" s="7">
        <v>424</v>
      </c>
      <c r="C66" s="3" t="s">
        <v>267</v>
      </c>
      <c r="D66" s="4">
        <v>2</v>
      </c>
      <c r="E66" s="3" t="s">
        <v>94</v>
      </c>
    </row>
    <row r="67" spans="1:5" x14ac:dyDescent="0.3">
      <c r="A67" s="8"/>
      <c r="B67" s="7"/>
      <c r="C67" s="3" t="s">
        <v>126</v>
      </c>
      <c r="D67" s="4">
        <v>2</v>
      </c>
      <c r="E67" s="3" t="s">
        <v>94</v>
      </c>
    </row>
    <row r="68" spans="1:5" x14ac:dyDescent="0.3">
      <c r="A68" s="8"/>
      <c r="B68" s="7"/>
      <c r="C68" s="3" t="s">
        <v>101</v>
      </c>
      <c r="D68" s="4">
        <v>1</v>
      </c>
      <c r="E68" s="3" t="s">
        <v>94</v>
      </c>
    </row>
    <row r="69" spans="1:5" x14ac:dyDescent="0.3">
      <c r="A69" s="8"/>
      <c r="B69" s="7"/>
      <c r="C69" s="3" t="s">
        <v>120</v>
      </c>
      <c r="D69" s="4">
        <v>1</v>
      </c>
      <c r="E69" s="3" t="s">
        <v>94</v>
      </c>
    </row>
    <row r="70" spans="1:5" x14ac:dyDescent="0.3">
      <c r="A70" s="8"/>
      <c r="B70" s="7"/>
      <c r="C70" s="3" t="s">
        <v>268</v>
      </c>
      <c r="D70" s="4">
        <v>200</v>
      </c>
      <c r="E70" s="3" t="s">
        <v>99</v>
      </c>
    </row>
    <row r="71" spans="1:5" x14ac:dyDescent="0.3">
      <c r="A71" s="8"/>
      <c r="B71" s="7"/>
      <c r="C71" s="3" t="s">
        <v>269</v>
      </c>
      <c r="D71" s="4">
        <v>200</v>
      </c>
      <c r="E71" s="3" t="s">
        <v>99</v>
      </c>
    </row>
    <row r="72" spans="1:5" x14ac:dyDescent="0.3">
      <c r="A72" s="8"/>
      <c r="B72" s="7"/>
      <c r="C72" s="3" t="s">
        <v>122</v>
      </c>
      <c r="D72" s="4">
        <v>1</v>
      </c>
      <c r="E72" s="3" t="s">
        <v>94</v>
      </c>
    </row>
    <row r="73" spans="1:5" x14ac:dyDescent="0.3">
      <c r="A73" s="8"/>
      <c r="B73" s="7"/>
      <c r="C73" s="3" t="s">
        <v>266</v>
      </c>
      <c r="D73" s="4">
        <v>1</v>
      </c>
      <c r="E73" s="3" t="s">
        <v>107</v>
      </c>
    </row>
    <row r="74" spans="1:5" x14ac:dyDescent="0.3">
      <c r="A74" s="8"/>
      <c r="B74" s="7"/>
      <c r="C74" s="3" t="s">
        <v>270</v>
      </c>
      <c r="D74" s="4">
        <v>2</v>
      </c>
      <c r="E74" s="3" t="s">
        <v>94</v>
      </c>
    </row>
    <row r="75" spans="1:5" x14ac:dyDescent="0.3">
      <c r="A75" s="8"/>
      <c r="B75" s="7"/>
      <c r="C75" s="3" t="s">
        <v>161</v>
      </c>
      <c r="D75" s="4">
        <v>1</v>
      </c>
      <c r="E75" s="3" t="s">
        <v>94</v>
      </c>
    </row>
    <row r="76" spans="1:5" x14ac:dyDescent="0.3">
      <c r="A76" s="8"/>
      <c r="B76" s="7"/>
      <c r="C76" s="3" t="s">
        <v>114</v>
      </c>
      <c r="D76" s="4">
        <v>1</v>
      </c>
      <c r="E76" s="3" t="s">
        <v>94</v>
      </c>
    </row>
    <row r="77" spans="1:5" x14ac:dyDescent="0.3">
      <c r="A77" s="8"/>
      <c r="B77" s="7"/>
      <c r="C77" s="3" t="s">
        <v>115</v>
      </c>
      <c r="D77" s="4">
        <v>1</v>
      </c>
      <c r="E77" s="3" t="s">
        <v>94</v>
      </c>
    </row>
    <row r="78" spans="1:5" x14ac:dyDescent="0.3">
      <c r="A78" s="8"/>
      <c r="B78" s="7"/>
      <c r="C78" s="3" t="s">
        <v>116</v>
      </c>
      <c r="D78" s="4">
        <v>1</v>
      </c>
      <c r="E78" s="3" t="s">
        <v>94</v>
      </c>
    </row>
    <row r="79" spans="1:5" x14ac:dyDescent="0.3">
      <c r="A79" s="8"/>
      <c r="B79" s="7"/>
      <c r="C79" s="3" t="s">
        <v>144</v>
      </c>
      <c r="D79" s="4">
        <v>3</v>
      </c>
      <c r="E79" s="3" t="s">
        <v>94</v>
      </c>
    </row>
    <row r="80" spans="1:5" x14ac:dyDescent="0.3">
      <c r="A80" s="8"/>
      <c r="B80" s="7"/>
      <c r="C80" s="3" t="s">
        <v>152</v>
      </c>
      <c r="D80" s="4">
        <v>1</v>
      </c>
      <c r="E80" s="3" t="s">
        <v>94</v>
      </c>
    </row>
    <row r="81" spans="1:5" x14ac:dyDescent="0.3">
      <c r="A81" s="8"/>
      <c r="B81" s="7"/>
      <c r="C81" s="3" t="s">
        <v>154</v>
      </c>
      <c r="D81" s="4">
        <v>50</v>
      </c>
      <c r="E81" s="3" t="s">
        <v>95</v>
      </c>
    </row>
    <row r="82" spans="1:5" x14ac:dyDescent="0.3">
      <c r="A82" s="8"/>
      <c r="B82" s="7"/>
      <c r="C82" s="3" t="s">
        <v>157</v>
      </c>
      <c r="D82" s="4">
        <v>100</v>
      </c>
      <c r="E82" s="3" t="s">
        <v>95</v>
      </c>
    </row>
    <row r="83" spans="1:5" x14ac:dyDescent="0.3">
      <c r="A83" s="8" t="s">
        <v>53</v>
      </c>
      <c r="B83" s="7">
        <v>436</v>
      </c>
      <c r="C83" s="3" t="s">
        <v>149</v>
      </c>
      <c r="D83" s="4">
        <v>300</v>
      </c>
      <c r="E83" s="3" t="s">
        <v>95</v>
      </c>
    </row>
    <row r="84" spans="1:5" x14ac:dyDescent="0.3">
      <c r="A84" s="8"/>
      <c r="B84" s="7"/>
      <c r="C84" s="3" t="s">
        <v>131</v>
      </c>
      <c r="D84" s="4">
        <v>2</v>
      </c>
      <c r="E84" s="3" t="s">
        <v>94</v>
      </c>
    </row>
    <row r="85" spans="1:5" x14ac:dyDescent="0.3">
      <c r="A85" s="8"/>
      <c r="B85" s="7"/>
      <c r="C85" s="3" t="s">
        <v>229</v>
      </c>
      <c r="D85" s="4">
        <v>100</v>
      </c>
      <c r="E85" s="3" t="s">
        <v>95</v>
      </c>
    </row>
    <row r="86" spans="1:5" x14ac:dyDescent="0.3">
      <c r="A86" s="8"/>
      <c r="B86" s="7"/>
      <c r="C86" s="3" t="s">
        <v>120</v>
      </c>
      <c r="D86" s="4">
        <v>4</v>
      </c>
      <c r="E86" s="3" t="s">
        <v>94</v>
      </c>
    </row>
    <row r="87" spans="1:5" x14ac:dyDescent="0.3">
      <c r="A87" s="8"/>
      <c r="B87" s="7"/>
      <c r="C87" s="3" t="s">
        <v>234</v>
      </c>
      <c r="D87" s="4">
        <v>50</v>
      </c>
      <c r="E87" s="3" t="s">
        <v>99</v>
      </c>
    </row>
    <row r="88" spans="1:5" x14ac:dyDescent="0.3">
      <c r="A88" s="8"/>
      <c r="B88" s="7"/>
      <c r="C88" s="3" t="s">
        <v>126</v>
      </c>
      <c r="D88" s="4">
        <v>2</v>
      </c>
      <c r="E88" s="3" t="s">
        <v>94</v>
      </c>
    </row>
    <row r="89" spans="1:5" x14ac:dyDescent="0.3">
      <c r="A89" s="8"/>
      <c r="B89" s="7"/>
      <c r="C89" s="3" t="s">
        <v>122</v>
      </c>
      <c r="D89" s="4">
        <v>1</v>
      </c>
      <c r="E89" s="3" t="s">
        <v>94</v>
      </c>
    </row>
    <row r="90" spans="1:5" x14ac:dyDescent="0.3">
      <c r="A90" s="8"/>
      <c r="B90" s="7"/>
      <c r="C90" s="3" t="s">
        <v>114</v>
      </c>
      <c r="D90" s="4">
        <v>1</v>
      </c>
      <c r="E90" s="3" t="s">
        <v>94</v>
      </c>
    </row>
    <row r="91" spans="1:5" x14ac:dyDescent="0.3">
      <c r="A91" s="8"/>
      <c r="B91" s="7"/>
      <c r="C91" s="3" t="s">
        <v>116</v>
      </c>
      <c r="D91" s="4">
        <v>1</v>
      </c>
      <c r="E91" s="3" t="s">
        <v>94</v>
      </c>
    </row>
    <row r="92" spans="1:5" x14ac:dyDescent="0.3">
      <c r="A92" s="8"/>
      <c r="B92" s="7"/>
      <c r="C92" s="3" t="s">
        <v>153</v>
      </c>
      <c r="D92" s="4">
        <v>2</v>
      </c>
      <c r="E92" s="3" t="s">
        <v>94</v>
      </c>
    </row>
    <row r="93" spans="1:5" x14ac:dyDescent="0.3">
      <c r="A93" s="8"/>
      <c r="B93" s="7"/>
      <c r="C93" s="3" t="s">
        <v>98</v>
      </c>
      <c r="D93" s="4">
        <v>165</v>
      </c>
      <c r="E93" s="3" t="s">
        <v>99</v>
      </c>
    </row>
    <row r="94" spans="1:5" x14ac:dyDescent="0.3">
      <c r="A94" s="8"/>
      <c r="B94" s="7"/>
      <c r="C94" s="3" t="s">
        <v>93</v>
      </c>
      <c r="D94" s="4">
        <v>75</v>
      </c>
      <c r="E94" s="3" t="s">
        <v>95</v>
      </c>
    </row>
    <row r="95" spans="1:5" x14ac:dyDescent="0.3">
      <c r="A95" s="8"/>
      <c r="B95" s="7"/>
      <c r="C95" s="3" t="s">
        <v>122</v>
      </c>
      <c r="D95" s="4">
        <v>1</v>
      </c>
      <c r="E95" s="3" t="s">
        <v>107</v>
      </c>
    </row>
    <row r="96" spans="1:5" x14ac:dyDescent="0.3">
      <c r="A96" s="8"/>
      <c r="B96" s="7"/>
      <c r="C96" s="3" t="s">
        <v>116</v>
      </c>
      <c r="D96" s="4">
        <v>1</v>
      </c>
      <c r="E96" s="3" t="s">
        <v>94</v>
      </c>
    </row>
    <row r="97" spans="1:5" x14ac:dyDescent="0.3">
      <c r="A97" s="8" t="s">
        <v>54</v>
      </c>
      <c r="B97" s="7">
        <v>444</v>
      </c>
      <c r="C97" s="3" t="s">
        <v>212</v>
      </c>
      <c r="D97" s="4">
        <v>350</v>
      </c>
      <c r="E97" s="3" t="s">
        <v>95</v>
      </c>
    </row>
    <row r="98" spans="1:5" x14ac:dyDescent="0.3">
      <c r="A98" s="8"/>
      <c r="B98" s="7"/>
      <c r="C98" s="3" t="s">
        <v>193</v>
      </c>
      <c r="D98" s="4">
        <v>400</v>
      </c>
      <c r="E98" s="3" t="s">
        <v>95</v>
      </c>
    </row>
    <row r="99" spans="1:5" x14ac:dyDescent="0.3">
      <c r="A99" s="8"/>
      <c r="B99" s="7"/>
      <c r="C99" s="3" t="s">
        <v>144</v>
      </c>
      <c r="D99" s="4">
        <v>7</v>
      </c>
      <c r="E99" s="3" t="s">
        <v>94</v>
      </c>
    </row>
    <row r="100" spans="1:5" x14ac:dyDescent="0.3">
      <c r="A100" s="8"/>
      <c r="B100" s="7"/>
      <c r="C100" s="3" t="s">
        <v>101</v>
      </c>
      <c r="D100" s="4">
        <v>0.5</v>
      </c>
      <c r="E100" s="3" t="s">
        <v>94</v>
      </c>
    </row>
    <row r="101" spans="1:5" x14ac:dyDescent="0.3">
      <c r="A101" s="8"/>
      <c r="B101" s="7"/>
      <c r="C101" s="3" t="s">
        <v>118</v>
      </c>
      <c r="D101" s="4">
        <v>1</v>
      </c>
      <c r="E101" s="3" t="s">
        <v>94</v>
      </c>
    </row>
    <row r="102" spans="1:5" x14ac:dyDescent="0.3">
      <c r="A102" s="8"/>
      <c r="B102" s="7"/>
      <c r="C102" s="3" t="s">
        <v>137</v>
      </c>
      <c r="D102" s="4">
        <v>0.5</v>
      </c>
      <c r="E102" s="3" t="s">
        <v>94</v>
      </c>
    </row>
    <row r="103" spans="1:5" x14ac:dyDescent="0.3">
      <c r="A103" s="8"/>
      <c r="B103" s="7"/>
      <c r="C103" s="3" t="s">
        <v>120</v>
      </c>
      <c r="D103" s="4">
        <v>2</v>
      </c>
      <c r="E103" s="3" t="s">
        <v>94</v>
      </c>
    </row>
    <row r="104" spans="1:5" x14ac:dyDescent="0.3">
      <c r="A104" s="8"/>
      <c r="B104" s="7"/>
      <c r="C104" s="3" t="s">
        <v>271</v>
      </c>
      <c r="D104" s="4">
        <v>12</v>
      </c>
      <c r="E104" s="3" t="s">
        <v>94</v>
      </c>
    </row>
    <row r="105" spans="1:5" x14ac:dyDescent="0.3">
      <c r="A105" s="8"/>
      <c r="B105" s="7"/>
      <c r="C105" s="3" t="s">
        <v>122</v>
      </c>
      <c r="D105" s="4">
        <v>1</v>
      </c>
      <c r="E105" s="3" t="s">
        <v>94</v>
      </c>
    </row>
    <row r="106" spans="1:5" x14ac:dyDescent="0.3">
      <c r="A106" s="8"/>
      <c r="B106" s="7"/>
      <c r="C106" s="3" t="s">
        <v>161</v>
      </c>
      <c r="D106" s="4">
        <v>1</v>
      </c>
      <c r="E106" s="3" t="s">
        <v>94</v>
      </c>
    </row>
    <row r="107" spans="1:5" x14ac:dyDescent="0.3">
      <c r="A107" s="8"/>
      <c r="B107" s="7"/>
      <c r="C107" s="3" t="s">
        <v>114</v>
      </c>
      <c r="D107" s="4">
        <v>1</v>
      </c>
      <c r="E107" s="3" t="s">
        <v>94</v>
      </c>
    </row>
    <row r="108" spans="1:5" x14ac:dyDescent="0.3">
      <c r="A108" s="8"/>
      <c r="B108" s="7"/>
      <c r="C108" s="3" t="s">
        <v>272</v>
      </c>
      <c r="D108" s="4">
        <v>1</v>
      </c>
      <c r="E108" s="3" t="s">
        <v>107</v>
      </c>
    </row>
    <row r="109" spans="1:5" x14ac:dyDescent="0.3">
      <c r="A109" s="8"/>
      <c r="B109" s="7"/>
      <c r="C109" s="3" t="s">
        <v>192</v>
      </c>
      <c r="D109" s="4">
        <v>10</v>
      </c>
      <c r="E109" s="3" t="s">
        <v>94</v>
      </c>
    </row>
    <row r="110" spans="1:5" x14ac:dyDescent="0.3">
      <c r="A110" s="8"/>
      <c r="B110" s="7"/>
      <c r="C110" s="3" t="s">
        <v>116</v>
      </c>
      <c r="D110" s="4">
        <v>1</v>
      </c>
      <c r="E110" s="3" t="s">
        <v>94</v>
      </c>
    </row>
    <row r="111" spans="1:5" x14ac:dyDescent="0.3">
      <c r="A111" s="8"/>
      <c r="B111" s="7"/>
      <c r="C111" s="3" t="s">
        <v>153</v>
      </c>
      <c r="D111" s="4">
        <v>2</v>
      </c>
      <c r="E111" s="3" t="s">
        <v>94</v>
      </c>
    </row>
    <row r="112" spans="1:5" x14ac:dyDescent="0.3">
      <c r="A112" s="8"/>
      <c r="B112" s="7"/>
      <c r="C112" s="3" t="s">
        <v>110</v>
      </c>
      <c r="D112" s="4">
        <v>20</v>
      </c>
      <c r="E112" s="3" t="s">
        <v>95</v>
      </c>
    </row>
    <row r="113" spans="1:5" x14ac:dyDescent="0.3">
      <c r="A113" s="8"/>
      <c r="B113" s="7"/>
      <c r="C113" s="3" t="s">
        <v>122</v>
      </c>
      <c r="D113" s="4">
        <v>1</v>
      </c>
      <c r="E113" s="3" t="s">
        <v>94</v>
      </c>
    </row>
    <row r="114" spans="1:5" x14ac:dyDescent="0.3">
      <c r="A114" s="8"/>
      <c r="B114" s="7"/>
      <c r="C114" s="3" t="s">
        <v>116</v>
      </c>
      <c r="D114" s="4">
        <v>1</v>
      </c>
      <c r="E114" s="3" t="s">
        <v>94</v>
      </c>
    </row>
    <row r="115" spans="1:5" x14ac:dyDescent="0.3">
      <c r="A115" s="8" t="s">
        <v>55</v>
      </c>
      <c r="B115" s="7">
        <v>452</v>
      </c>
      <c r="C115" s="3" t="s">
        <v>273</v>
      </c>
      <c r="D115" s="4">
        <v>4</v>
      </c>
      <c r="E115" s="3" t="s">
        <v>94</v>
      </c>
    </row>
    <row r="116" spans="1:5" x14ac:dyDescent="0.3">
      <c r="A116" s="8"/>
      <c r="B116" s="7"/>
      <c r="C116" s="3" t="s">
        <v>274</v>
      </c>
      <c r="D116" s="4">
        <v>200</v>
      </c>
      <c r="E116" s="3" t="s">
        <v>95</v>
      </c>
    </row>
    <row r="117" spans="1:5" x14ac:dyDescent="0.3">
      <c r="A117" s="8"/>
      <c r="B117" s="7"/>
      <c r="C117" s="3" t="s">
        <v>126</v>
      </c>
      <c r="D117" s="4">
        <v>4</v>
      </c>
      <c r="E117" s="3" t="s">
        <v>94</v>
      </c>
    </row>
    <row r="118" spans="1:5" x14ac:dyDescent="0.3">
      <c r="A118" s="8"/>
      <c r="B118" s="7"/>
      <c r="C118" s="3" t="s">
        <v>101</v>
      </c>
      <c r="D118" s="4">
        <v>2</v>
      </c>
      <c r="E118" s="3" t="s">
        <v>94</v>
      </c>
    </row>
    <row r="119" spans="1:5" x14ac:dyDescent="0.3">
      <c r="A119" s="8"/>
      <c r="B119" s="7"/>
      <c r="C119" s="3" t="s">
        <v>120</v>
      </c>
      <c r="D119" s="4">
        <v>2</v>
      </c>
      <c r="E119" s="3" t="s">
        <v>94</v>
      </c>
    </row>
    <row r="120" spans="1:5" x14ac:dyDescent="0.3">
      <c r="A120" s="8"/>
      <c r="B120" s="7"/>
      <c r="C120" s="3" t="s">
        <v>227</v>
      </c>
      <c r="D120" s="4">
        <v>4</v>
      </c>
      <c r="E120" s="3" t="s">
        <v>94</v>
      </c>
    </row>
    <row r="121" spans="1:5" x14ac:dyDescent="0.3">
      <c r="A121" s="8"/>
      <c r="B121" s="7"/>
      <c r="C121" s="3" t="s">
        <v>275</v>
      </c>
      <c r="D121" s="4">
        <v>2</v>
      </c>
      <c r="E121" s="3" t="s">
        <v>107</v>
      </c>
    </row>
    <row r="122" spans="1:5" x14ac:dyDescent="0.3">
      <c r="A122" s="8"/>
      <c r="B122" s="7"/>
      <c r="C122" s="3" t="s">
        <v>268</v>
      </c>
      <c r="D122" s="4">
        <v>125</v>
      </c>
      <c r="E122" s="3" t="s">
        <v>99</v>
      </c>
    </row>
    <row r="123" spans="1:5" x14ac:dyDescent="0.3">
      <c r="A123" s="8"/>
      <c r="B123" s="7"/>
      <c r="C123" s="3" t="s">
        <v>196</v>
      </c>
      <c r="D123" s="4">
        <v>750</v>
      </c>
      <c r="E123" s="3" t="s">
        <v>99</v>
      </c>
    </row>
    <row r="124" spans="1:5" x14ac:dyDescent="0.3">
      <c r="A124" s="8"/>
      <c r="B124" s="7"/>
      <c r="C124" s="3" t="s">
        <v>122</v>
      </c>
      <c r="D124" s="4">
        <v>1</v>
      </c>
      <c r="E124" s="3" t="s">
        <v>94</v>
      </c>
    </row>
    <row r="125" spans="1:5" x14ac:dyDescent="0.3">
      <c r="A125" s="8"/>
      <c r="B125" s="7"/>
      <c r="C125" s="3" t="s">
        <v>276</v>
      </c>
      <c r="D125" s="4">
        <v>0.5</v>
      </c>
      <c r="E125" s="3" t="s">
        <v>94</v>
      </c>
    </row>
    <row r="126" spans="1:5" x14ac:dyDescent="0.3">
      <c r="A126" s="8"/>
      <c r="B126" s="7"/>
      <c r="C126" s="3" t="s">
        <v>270</v>
      </c>
      <c r="D126" s="4">
        <v>2.5</v>
      </c>
      <c r="E126" s="3" t="s">
        <v>94</v>
      </c>
    </row>
    <row r="127" spans="1:5" x14ac:dyDescent="0.3">
      <c r="A127" s="8"/>
      <c r="B127" s="7"/>
      <c r="C127" s="3" t="s">
        <v>114</v>
      </c>
      <c r="D127" s="4">
        <v>1</v>
      </c>
      <c r="E127" s="3" t="s">
        <v>94</v>
      </c>
    </row>
    <row r="128" spans="1:5" x14ac:dyDescent="0.3">
      <c r="A128" s="8"/>
      <c r="B128" s="7"/>
      <c r="C128" s="3" t="s">
        <v>116</v>
      </c>
      <c r="D128" s="4">
        <v>1</v>
      </c>
      <c r="E128" s="3" t="s">
        <v>94</v>
      </c>
    </row>
    <row r="129" spans="1:5" x14ac:dyDescent="0.3">
      <c r="A129" s="8" t="s">
        <v>57</v>
      </c>
      <c r="B129" s="7">
        <v>462</v>
      </c>
      <c r="C129" s="3" t="s">
        <v>277</v>
      </c>
      <c r="D129" s="4">
        <v>600</v>
      </c>
      <c r="E129" s="3" t="s">
        <v>95</v>
      </c>
    </row>
    <row r="130" spans="1:5" x14ac:dyDescent="0.3">
      <c r="A130" s="8"/>
      <c r="B130" s="7"/>
      <c r="C130" s="3" t="s">
        <v>148</v>
      </c>
      <c r="D130" s="4">
        <v>2</v>
      </c>
      <c r="E130" s="3" t="s">
        <v>94</v>
      </c>
    </row>
    <row r="131" spans="1:5" x14ac:dyDescent="0.3">
      <c r="A131" s="8"/>
      <c r="B131" s="7"/>
      <c r="C131" s="3" t="s">
        <v>144</v>
      </c>
      <c r="D131" s="4">
        <v>2</v>
      </c>
      <c r="E131" s="3" t="s">
        <v>94</v>
      </c>
    </row>
    <row r="132" spans="1:5" x14ac:dyDescent="0.3">
      <c r="A132" s="8"/>
      <c r="B132" s="7"/>
      <c r="C132" s="3" t="s">
        <v>126</v>
      </c>
      <c r="D132" s="4">
        <v>2</v>
      </c>
      <c r="E132" s="3" t="s">
        <v>94</v>
      </c>
    </row>
    <row r="133" spans="1:5" x14ac:dyDescent="0.3">
      <c r="A133" s="8"/>
      <c r="B133" s="7"/>
      <c r="C133" s="3" t="s">
        <v>101</v>
      </c>
      <c r="D133" s="4">
        <v>1</v>
      </c>
      <c r="E133" s="3" t="s">
        <v>94</v>
      </c>
    </row>
    <row r="134" spans="1:5" x14ac:dyDescent="0.3">
      <c r="A134" s="8"/>
      <c r="B134" s="7"/>
      <c r="C134" s="3" t="s">
        <v>108</v>
      </c>
      <c r="D134" s="4">
        <v>1</v>
      </c>
      <c r="E134" s="3" t="s">
        <v>94</v>
      </c>
    </row>
    <row r="135" spans="1:5" x14ac:dyDescent="0.3">
      <c r="A135" s="8"/>
      <c r="B135" s="7"/>
      <c r="C135" s="3" t="s">
        <v>230</v>
      </c>
      <c r="D135" s="4">
        <v>250</v>
      </c>
      <c r="E135" s="3" t="s">
        <v>99</v>
      </c>
    </row>
    <row r="136" spans="1:5" x14ac:dyDescent="0.3">
      <c r="A136" s="8"/>
      <c r="B136" s="7"/>
      <c r="C136" s="3" t="s">
        <v>93</v>
      </c>
      <c r="D136" s="4">
        <v>30</v>
      </c>
      <c r="E136" s="3" t="s">
        <v>95</v>
      </c>
    </row>
    <row r="137" spans="1:5" x14ac:dyDescent="0.3">
      <c r="A137" s="8"/>
      <c r="B137" s="7"/>
      <c r="C137" s="3" t="s">
        <v>98</v>
      </c>
      <c r="D137" s="4">
        <v>600</v>
      </c>
      <c r="E137" s="3" t="s">
        <v>99</v>
      </c>
    </row>
    <row r="138" spans="1:5" x14ac:dyDescent="0.3">
      <c r="A138" s="8"/>
      <c r="B138" s="7"/>
      <c r="C138" s="3" t="s">
        <v>157</v>
      </c>
      <c r="D138" s="4">
        <v>100</v>
      </c>
      <c r="E138" s="3" t="s">
        <v>95</v>
      </c>
    </row>
    <row r="139" spans="1:5" x14ac:dyDescent="0.3">
      <c r="A139" s="8"/>
      <c r="B139" s="7"/>
      <c r="C139" s="3" t="s">
        <v>122</v>
      </c>
      <c r="D139" s="4">
        <v>1</v>
      </c>
      <c r="E139" s="3" t="s">
        <v>94</v>
      </c>
    </row>
    <row r="140" spans="1:5" x14ac:dyDescent="0.3">
      <c r="A140" s="8"/>
      <c r="B140" s="7"/>
      <c r="C140" s="3" t="s">
        <v>270</v>
      </c>
      <c r="D140" s="4">
        <v>1</v>
      </c>
      <c r="E140" s="3" t="s">
        <v>107</v>
      </c>
    </row>
    <row r="141" spans="1:5" x14ac:dyDescent="0.3">
      <c r="A141" s="8"/>
      <c r="B141" s="7"/>
      <c r="C141" s="3" t="s">
        <v>276</v>
      </c>
      <c r="D141" s="4">
        <v>1</v>
      </c>
      <c r="E141" s="3" t="s">
        <v>107</v>
      </c>
    </row>
    <row r="142" spans="1:5" x14ac:dyDescent="0.3">
      <c r="A142" s="8"/>
      <c r="B142" s="7"/>
      <c r="C142" s="3" t="s">
        <v>158</v>
      </c>
      <c r="D142" s="4">
        <v>1</v>
      </c>
      <c r="E142" s="3" t="s">
        <v>107</v>
      </c>
    </row>
    <row r="143" spans="1:5" x14ac:dyDescent="0.3">
      <c r="A143" s="8"/>
      <c r="B143" s="7"/>
      <c r="C143" s="3" t="s">
        <v>114</v>
      </c>
      <c r="D143" s="4">
        <v>1</v>
      </c>
      <c r="E143" s="3" t="s">
        <v>94</v>
      </c>
    </row>
    <row r="144" spans="1:5" x14ac:dyDescent="0.3">
      <c r="A144" s="8"/>
      <c r="B144" s="7"/>
      <c r="C144" s="3" t="s">
        <v>115</v>
      </c>
      <c r="D144" s="4">
        <v>1</v>
      </c>
      <c r="E144" s="3" t="s">
        <v>94</v>
      </c>
    </row>
    <row r="145" spans="1:5" x14ac:dyDescent="0.3">
      <c r="A145" s="8"/>
      <c r="B145" s="7"/>
      <c r="C145" s="3" t="s">
        <v>143</v>
      </c>
      <c r="D145" s="4">
        <v>1</v>
      </c>
      <c r="E145" s="3" t="s">
        <v>94</v>
      </c>
    </row>
    <row r="146" spans="1:5" x14ac:dyDescent="0.3">
      <c r="A146" s="8"/>
      <c r="B146" s="7"/>
      <c r="C146" s="3" t="s">
        <v>116</v>
      </c>
      <c r="D146" s="4">
        <v>1</v>
      </c>
      <c r="E146" s="3" t="s">
        <v>94</v>
      </c>
    </row>
    <row r="147" spans="1:5" x14ac:dyDescent="0.3">
      <c r="A147" s="8" t="s">
        <v>58</v>
      </c>
      <c r="B147" s="7">
        <v>470</v>
      </c>
      <c r="C147" s="3" t="s">
        <v>278</v>
      </c>
      <c r="D147" s="4">
        <v>4</v>
      </c>
      <c r="E147" s="3" t="s">
        <v>94</v>
      </c>
    </row>
    <row r="148" spans="1:5" x14ac:dyDescent="0.3">
      <c r="A148" s="8"/>
      <c r="B148" s="7"/>
      <c r="C148" s="3" t="s">
        <v>144</v>
      </c>
      <c r="D148" s="4">
        <v>2</v>
      </c>
      <c r="E148" s="3" t="s">
        <v>94</v>
      </c>
    </row>
    <row r="149" spans="1:5" x14ac:dyDescent="0.3">
      <c r="A149" s="8"/>
      <c r="B149" s="7"/>
      <c r="C149" s="3" t="s">
        <v>126</v>
      </c>
      <c r="D149" s="4">
        <v>2</v>
      </c>
      <c r="E149" s="3" t="s">
        <v>94</v>
      </c>
    </row>
    <row r="150" spans="1:5" x14ac:dyDescent="0.3">
      <c r="A150" s="8"/>
      <c r="B150" s="7"/>
      <c r="C150" s="3" t="s">
        <v>145</v>
      </c>
      <c r="D150" s="4">
        <v>125</v>
      </c>
      <c r="E150" s="3" t="s">
        <v>99</v>
      </c>
    </row>
    <row r="151" spans="1:5" x14ac:dyDescent="0.3">
      <c r="A151" s="8"/>
      <c r="B151" s="7"/>
      <c r="C151" s="3" t="s">
        <v>204</v>
      </c>
      <c r="D151" s="4">
        <v>16</v>
      </c>
      <c r="E151" s="3" t="s">
        <v>94</v>
      </c>
    </row>
    <row r="152" spans="1:5" x14ac:dyDescent="0.3">
      <c r="A152" s="8"/>
      <c r="B152" s="7"/>
      <c r="C152" s="3" t="s">
        <v>266</v>
      </c>
      <c r="D152" s="4">
        <v>1</v>
      </c>
      <c r="E152" s="3" t="s">
        <v>107</v>
      </c>
    </row>
    <row r="153" spans="1:5" x14ac:dyDescent="0.3">
      <c r="A153" s="8"/>
      <c r="B153" s="7"/>
      <c r="C153" s="3" t="s">
        <v>122</v>
      </c>
      <c r="D153" s="4">
        <v>1</v>
      </c>
      <c r="E153" s="3" t="s">
        <v>94</v>
      </c>
    </row>
    <row r="154" spans="1:5" x14ac:dyDescent="0.3">
      <c r="A154" s="8"/>
      <c r="B154" s="7"/>
      <c r="C154" s="3" t="s">
        <v>270</v>
      </c>
      <c r="D154" s="4">
        <v>1</v>
      </c>
      <c r="E154" s="3" t="s">
        <v>94</v>
      </c>
    </row>
    <row r="155" spans="1:5" x14ac:dyDescent="0.3">
      <c r="A155" s="8"/>
      <c r="B155" s="7"/>
      <c r="C155" s="3" t="s">
        <v>276</v>
      </c>
      <c r="D155" s="4">
        <v>1</v>
      </c>
      <c r="E155" s="3" t="s">
        <v>94</v>
      </c>
    </row>
    <row r="156" spans="1:5" x14ac:dyDescent="0.3">
      <c r="A156" s="8"/>
      <c r="B156" s="7"/>
      <c r="C156" s="3" t="s">
        <v>114</v>
      </c>
      <c r="D156" s="4">
        <v>1</v>
      </c>
      <c r="E156" s="3" t="s">
        <v>94</v>
      </c>
    </row>
    <row r="157" spans="1:5" x14ac:dyDescent="0.3">
      <c r="A157" s="8"/>
      <c r="B157" s="7"/>
      <c r="C157" s="3" t="s">
        <v>254</v>
      </c>
      <c r="D157" s="4">
        <v>1</v>
      </c>
      <c r="E157" s="3" t="s">
        <v>94</v>
      </c>
    </row>
    <row r="158" spans="1:5" x14ac:dyDescent="0.3">
      <c r="A158" s="8"/>
      <c r="B158" s="7"/>
      <c r="C158" s="3" t="s">
        <v>115</v>
      </c>
      <c r="D158" s="4">
        <v>1</v>
      </c>
      <c r="E158" s="3" t="s">
        <v>94</v>
      </c>
    </row>
    <row r="159" spans="1:5" x14ac:dyDescent="0.3">
      <c r="A159" s="8"/>
      <c r="B159" s="7"/>
      <c r="C159" s="3" t="s">
        <v>116</v>
      </c>
      <c r="D159" s="4">
        <v>1</v>
      </c>
      <c r="E159" s="3" t="s">
        <v>94</v>
      </c>
    </row>
    <row r="160" spans="1:5" x14ac:dyDescent="0.3">
      <c r="A160" s="8" t="s">
        <v>59</v>
      </c>
      <c r="B160" s="7">
        <v>485</v>
      </c>
      <c r="C160" s="3" t="s">
        <v>255</v>
      </c>
      <c r="D160" s="4">
        <v>1000</v>
      </c>
      <c r="E160" s="3" t="s">
        <v>95</v>
      </c>
    </row>
    <row r="161" spans="1:5" x14ac:dyDescent="0.3">
      <c r="A161" s="8"/>
      <c r="B161" s="7"/>
      <c r="C161" s="3" t="s">
        <v>279</v>
      </c>
      <c r="D161" s="4">
        <v>20</v>
      </c>
      <c r="E161" s="3" t="s">
        <v>94</v>
      </c>
    </row>
    <row r="162" spans="1:5" x14ac:dyDescent="0.3">
      <c r="A162" s="8"/>
      <c r="B162" s="7"/>
      <c r="C162" s="3" t="s">
        <v>101</v>
      </c>
      <c r="D162" s="4">
        <v>1</v>
      </c>
      <c r="E162" s="3" t="s">
        <v>94</v>
      </c>
    </row>
    <row r="163" spans="1:5" x14ac:dyDescent="0.3">
      <c r="A163" s="8"/>
      <c r="B163" s="7"/>
      <c r="C163" s="3" t="s">
        <v>110</v>
      </c>
      <c r="D163" s="4">
        <v>150</v>
      </c>
      <c r="E163" s="3" t="s">
        <v>95</v>
      </c>
    </row>
    <row r="164" spans="1:5" x14ac:dyDescent="0.3">
      <c r="A164" s="8"/>
      <c r="B164" s="7"/>
      <c r="C164" s="3" t="s">
        <v>216</v>
      </c>
      <c r="D164" s="4">
        <v>250</v>
      </c>
      <c r="E164" s="3" t="s">
        <v>99</v>
      </c>
    </row>
    <row r="165" spans="1:5" x14ac:dyDescent="0.3">
      <c r="A165" s="8"/>
      <c r="B165" s="7"/>
      <c r="C165" s="3" t="s">
        <v>280</v>
      </c>
      <c r="D165" s="4">
        <v>200</v>
      </c>
      <c r="E165" s="3" t="s">
        <v>95</v>
      </c>
    </row>
    <row r="166" spans="1:5" x14ac:dyDescent="0.3">
      <c r="A166" s="8"/>
      <c r="B166" s="7"/>
      <c r="C166" s="3" t="s">
        <v>122</v>
      </c>
      <c r="D166" s="4">
        <v>1</v>
      </c>
      <c r="E166" s="3" t="s">
        <v>94</v>
      </c>
    </row>
    <row r="167" spans="1:5" x14ac:dyDescent="0.3">
      <c r="A167" s="8"/>
      <c r="B167" s="7"/>
      <c r="C167" s="3" t="s">
        <v>270</v>
      </c>
      <c r="D167" s="4">
        <v>1</v>
      </c>
      <c r="E167" s="3" t="s">
        <v>107</v>
      </c>
    </row>
    <row r="168" spans="1:5" x14ac:dyDescent="0.3">
      <c r="A168" s="8"/>
      <c r="B168" s="7"/>
      <c r="C168" s="3" t="s">
        <v>114</v>
      </c>
      <c r="D168" s="4">
        <v>1</v>
      </c>
      <c r="E168" s="3" t="s">
        <v>94</v>
      </c>
    </row>
    <row r="169" spans="1:5" x14ac:dyDescent="0.3">
      <c r="A169" s="8"/>
      <c r="B169" s="7"/>
      <c r="C169" s="3" t="s">
        <v>166</v>
      </c>
      <c r="D169" s="4">
        <v>1</v>
      </c>
      <c r="E169" s="3" t="s">
        <v>107</v>
      </c>
    </row>
    <row r="170" spans="1:5" x14ac:dyDescent="0.3">
      <c r="A170" s="8"/>
      <c r="B170" s="7"/>
      <c r="C170" s="3" t="s">
        <v>115</v>
      </c>
      <c r="D170" s="4">
        <v>1</v>
      </c>
      <c r="E170" s="3" t="s">
        <v>94</v>
      </c>
    </row>
    <row r="171" spans="1:5" x14ac:dyDescent="0.3">
      <c r="A171" s="8"/>
      <c r="B171" s="7"/>
      <c r="C171" s="3" t="s">
        <v>116</v>
      </c>
      <c r="D171" s="4">
        <v>1</v>
      </c>
      <c r="E171" s="3" t="s">
        <v>94</v>
      </c>
    </row>
    <row r="172" spans="1:5" x14ac:dyDescent="0.3">
      <c r="A172" s="8" t="s">
        <v>60</v>
      </c>
      <c r="B172" s="7">
        <v>494</v>
      </c>
      <c r="C172" s="3" t="s">
        <v>281</v>
      </c>
      <c r="D172" s="4">
        <v>1500</v>
      </c>
      <c r="E172" s="3" t="s">
        <v>95</v>
      </c>
    </row>
    <row r="173" spans="1:5" x14ac:dyDescent="0.3">
      <c r="A173" s="8"/>
      <c r="B173" s="7"/>
      <c r="C173" s="3" t="s">
        <v>282</v>
      </c>
      <c r="D173" s="4">
        <v>300</v>
      </c>
      <c r="E173" s="3" t="s">
        <v>95</v>
      </c>
    </row>
    <row r="174" spans="1:5" x14ac:dyDescent="0.3">
      <c r="A174" s="8"/>
      <c r="B174" s="7"/>
      <c r="C174" s="3" t="s">
        <v>101</v>
      </c>
      <c r="D174" s="4">
        <v>0.5</v>
      </c>
      <c r="E174" s="3" t="s">
        <v>94</v>
      </c>
    </row>
    <row r="175" spans="1:5" x14ac:dyDescent="0.3">
      <c r="A175" s="8"/>
      <c r="B175" s="7"/>
      <c r="C175" s="3" t="s">
        <v>108</v>
      </c>
      <c r="D175" s="4">
        <v>1</v>
      </c>
      <c r="E175" s="3" t="s">
        <v>94</v>
      </c>
    </row>
    <row r="176" spans="1:5" x14ac:dyDescent="0.3">
      <c r="A176" s="8"/>
      <c r="B176" s="7"/>
      <c r="C176" s="3" t="s">
        <v>131</v>
      </c>
      <c r="D176" s="4">
        <v>1</v>
      </c>
      <c r="E176" s="3" t="s">
        <v>94</v>
      </c>
    </row>
    <row r="177" spans="1:5" x14ac:dyDescent="0.3">
      <c r="A177" s="8"/>
      <c r="B177" s="7"/>
      <c r="C177" s="3" t="s">
        <v>120</v>
      </c>
      <c r="D177" s="4">
        <v>1</v>
      </c>
      <c r="E177" s="3" t="s">
        <v>94</v>
      </c>
    </row>
    <row r="178" spans="1:5" x14ac:dyDescent="0.3">
      <c r="A178" s="8"/>
      <c r="B178" s="7"/>
      <c r="C178" s="3" t="s">
        <v>126</v>
      </c>
      <c r="D178" s="4">
        <v>4</v>
      </c>
      <c r="E178" s="3" t="s">
        <v>94</v>
      </c>
    </row>
    <row r="179" spans="1:5" x14ac:dyDescent="0.3">
      <c r="A179" s="8"/>
      <c r="B179" s="7"/>
      <c r="C179" s="3" t="s">
        <v>118</v>
      </c>
      <c r="D179" s="4">
        <v>1</v>
      </c>
      <c r="E179" s="3" t="s">
        <v>94</v>
      </c>
    </row>
    <row r="180" spans="1:5" x14ac:dyDescent="0.3">
      <c r="A180" s="8"/>
      <c r="B180" s="7"/>
      <c r="C180" s="3" t="s">
        <v>283</v>
      </c>
      <c r="D180" s="4">
        <v>250</v>
      </c>
      <c r="E180" s="3" t="s">
        <v>99</v>
      </c>
    </row>
    <row r="181" spans="1:5" x14ac:dyDescent="0.3">
      <c r="A181" s="8"/>
      <c r="B181" s="7"/>
      <c r="C181" s="3" t="s">
        <v>144</v>
      </c>
      <c r="D181" s="4">
        <v>2</v>
      </c>
      <c r="E181" s="3" t="s">
        <v>94</v>
      </c>
    </row>
    <row r="182" spans="1:5" x14ac:dyDescent="0.3">
      <c r="A182" s="8"/>
      <c r="B182" s="7"/>
      <c r="C182" s="3" t="s">
        <v>122</v>
      </c>
      <c r="D182" s="4">
        <v>1</v>
      </c>
      <c r="E182" s="3" t="s">
        <v>94</v>
      </c>
    </row>
    <row r="183" spans="1:5" x14ac:dyDescent="0.3">
      <c r="A183" s="8"/>
      <c r="B183" s="7"/>
      <c r="C183" s="3" t="s">
        <v>276</v>
      </c>
      <c r="D183" s="4">
        <v>1</v>
      </c>
      <c r="E183" s="3" t="s">
        <v>94</v>
      </c>
    </row>
    <row r="184" spans="1:5" x14ac:dyDescent="0.3">
      <c r="A184" s="8"/>
      <c r="B184" s="7"/>
      <c r="C184" s="3" t="s">
        <v>270</v>
      </c>
      <c r="D184" s="4">
        <v>1</v>
      </c>
      <c r="E184" s="3" t="s">
        <v>94</v>
      </c>
    </row>
    <row r="185" spans="1:5" x14ac:dyDescent="0.3">
      <c r="A185" s="8"/>
      <c r="B185" s="7"/>
      <c r="C185" s="3" t="s">
        <v>114</v>
      </c>
      <c r="D185" s="4">
        <v>1</v>
      </c>
      <c r="E185" s="3" t="s">
        <v>94</v>
      </c>
    </row>
    <row r="186" spans="1:5" x14ac:dyDescent="0.3">
      <c r="A186" s="8"/>
      <c r="B186" s="7"/>
      <c r="C186" s="3" t="s">
        <v>115</v>
      </c>
      <c r="D186" s="4">
        <v>15</v>
      </c>
      <c r="E186" s="3" t="s">
        <v>94</v>
      </c>
    </row>
    <row r="187" spans="1:5" x14ac:dyDescent="0.3">
      <c r="A187" s="8"/>
      <c r="B187" s="7"/>
      <c r="C187" s="3" t="s">
        <v>116</v>
      </c>
      <c r="D187" s="4">
        <v>1</v>
      </c>
      <c r="E187" s="3" t="s">
        <v>94</v>
      </c>
    </row>
    <row r="188" spans="1:5" x14ac:dyDescent="0.3">
      <c r="A188" s="8" t="s">
        <v>61</v>
      </c>
      <c r="B188" s="7">
        <v>506</v>
      </c>
      <c r="C188" s="3" t="s">
        <v>284</v>
      </c>
      <c r="D188" s="4">
        <v>800</v>
      </c>
      <c r="E188" s="3" t="s">
        <v>95</v>
      </c>
    </row>
    <row r="189" spans="1:5" x14ac:dyDescent="0.3">
      <c r="A189" s="8"/>
      <c r="B189" s="7"/>
      <c r="C189" s="3" t="s">
        <v>144</v>
      </c>
      <c r="D189" s="4">
        <v>4</v>
      </c>
      <c r="E189" s="3" t="s">
        <v>94</v>
      </c>
    </row>
    <row r="190" spans="1:5" x14ac:dyDescent="0.3">
      <c r="A190" s="8"/>
      <c r="B190" s="7"/>
      <c r="C190" s="3" t="s">
        <v>259</v>
      </c>
      <c r="D190" s="4">
        <v>15</v>
      </c>
      <c r="E190" s="3" t="s">
        <v>95</v>
      </c>
    </row>
    <row r="191" spans="1:5" x14ac:dyDescent="0.3">
      <c r="A191" s="8"/>
      <c r="B191" s="7"/>
      <c r="C191" s="3" t="s">
        <v>285</v>
      </c>
      <c r="D191" s="4">
        <v>125</v>
      </c>
      <c r="E191" s="3" t="s">
        <v>99</v>
      </c>
    </row>
    <row r="192" spans="1:5" x14ac:dyDescent="0.3">
      <c r="A192" s="8"/>
      <c r="B192" s="7"/>
      <c r="C192" s="3" t="s">
        <v>246</v>
      </c>
      <c r="D192" s="4">
        <v>1</v>
      </c>
      <c r="E192" s="3" t="s">
        <v>94</v>
      </c>
    </row>
    <row r="193" spans="1:5" x14ac:dyDescent="0.3">
      <c r="A193" s="8"/>
      <c r="B193" s="7"/>
      <c r="C193" s="3" t="s">
        <v>93</v>
      </c>
      <c r="D193" s="4">
        <v>1</v>
      </c>
      <c r="E193" s="3" t="s">
        <v>107</v>
      </c>
    </row>
    <row r="194" spans="1:5" x14ac:dyDescent="0.3">
      <c r="A194" s="8"/>
      <c r="B194" s="7"/>
      <c r="C194" s="3" t="s">
        <v>196</v>
      </c>
      <c r="D194" s="4">
        <v>125</v>
      </c>
      <c r="E194" s="3" t="s">
        <v>99</v>
      </c>
    </row>
    <row r="195" spans="1:5" x14ac:dyDescent="0.3">
      <c r="A195" s="8"/>
      <c r="B195" s="7"/>
      <c r="C195" s="3" t="s">
        <v>154</v>
      </c>
      <c r="D195" s="4">
        <v>40</v>
      </c>
      <c r="E195" s="3" t="s">
        <v>95</v>
      </c>
    </row>
    <row r="196" spans="1:5" x14ac:dyDescent="0.3">
      <c r="A196" s="8"/>
      <c r="B196" s="7"/>
      <c r="C196" s="3" t="s">
        <v>122</v>
      </c>
      <c r="D196" s="4">
        <v>1</v>
      </c>
      <c r="E196" s="3" t="s">
        <v>94</v>
      </c>
    </row>
    <row r="197" spans="1:5" x14ac:dyDescent="0.3">
      <c r="A197" s="8"/>
      <c r="B197" s="7"/>
      <c r="C197" s="3" t="s">
        <v>270</v>
      </c>
      <c r="D197" s="4">
        <v>2</v>
      </c>
      <c r="E197" s="3" t="s">
        <v>94</v>
      </c>
    </row>
    <row r="198" spans="1:5" x14ac:dyDescent="0.3">
      <c r="A198" s="8"/>
      <c r="B198" s="7"/>
      <c r="C198" s="3" t="s">
        <v>276</v>
      </c>
      <c r="D198" s="4">
        <v>1</v>
      </c>
      <c r="E198" s="3" t="s">
        <v>94</v>
      </c>
    </row>
    <row r="199" spans="1:5" x14ac:dyDescent="0.3">
      <c r="A199" s="8"/>
      <c r="B199" s="7"/>
      <c r="C199" s="3" t="s">
        <v>114</v>
      </c>
      <c r="D199" s="4">
        <v>1</v>
      </c>
      <c r="E199" s="3" t="s">
        <v>94</v>
      </c>
    </row>
    <row r="200" spans="1:5" x14ac:dyDescent="0.3">
      <c r="A200" s="8"/>
      <c r="B200" s="7"/>
      <c r="C200" s="3" t="s">
        <v>115</v>
      </c>
      <c r="D200" s="4">
        <v>1</v>
      </c>
      <c r="E200" s="3" t="s">
        <v>94</v>
      </c>
    </row>
    <row r="201" spans="1:5" x14ac:dyDescent="0.3">
      <c r="A201" s="8"/>
      <c r="B201" s="7"/>
      <c r="C201" s="3" t="s">
        <v>116</v>
      </c>
      <c r="D201" s="4">
        <v>1</v>
      </c>
      <c r="E201" s="3" t="s">
        <v>94</v>
      </c>
    </row>
    <row r="202" spans="1:5" x14ac:dyDescent="0.3">
      <c r="A202" s="8" t="s">
        <v>62</v>
      </c>
      <c r="B202" s="7">
        <v>514</v>
      </c>
      <c r="C202" s="3" t="s">
        <v>135</v>
      </c>
      <c r="D202" s="4">
        <v>750</v>
      </c>
      <c r="E202" s="3" t="s">
        <v>95</v>
      </c>
    </row>
    <row r="203" spans="1:5" x14ac:dyDescent="0.3">
      <c r="A203" s="8"/>
      <c r="B203" s="7"/>
      <c r="C203" s="3" t="s">
        <v>286</v>
      </c>
      <c r="D203" s="4">
        <v>2</v>
      </c>
      <c r="E203" s="3" t="s">
        <v>94</v>
      </c>
    </row>
    <row r="204" spans="1:5" x14ac:dyDescent="0.3">
      <c r="A204" s="8"/>
      <c r="B204" s="7"/>
      <c r="C204" s="3" t="s">
        <v>287</v>
      </c>
      <c r="D204" s="4">
        <v>1</v>
      </c>
      <c r="E204" s="3" t="s">
        <v>107</v>
      </c>
    </row>
    <row r="205" spans="1:5" x14ac:dyDescent="0.3">
      <c r="A205" s="8"/>
      <c r="B205" s="7"/>
      <c r="C205" s="3" t="s">
        <v>288</v>
      </c>
      <c r="D205" s="4">
        <v>1</v>
      </c>
      <c r="E205" s="3" t="s">
        <v>94</v>
      </c>
    </row>
    <row r="206" spans="1:5" x14ac:dyDescent="0.3">
      <c r="A206" s="8"/>
      <c r="B206" s="7"/>
      <c r="C206" s="3" t="s">
        <v>153</v>
      </c>
      <c r="D206" s="4">
        <v>1</v>
      </c>
      <c r="E206" s="3" t="s">
        <v>94</v>
      </c>
    </row>
    <row r="207" spans="1:5" x14ac:dyDescent="0.3">
      <c r="A207" s="8"/>
      <c r="B207" s="7"/>
      <c r="C207" s="3" t="s">
        <v>157</v>
      </c>
      <c r="D207" s="4">
        <v>50</v>
      </c>
      <c r="E207" s="3" t="s">
        <v>95</v>
      </c>
    </row>
    <row r="208" spans="1:5" x14ac:dyDescent="0.3">
      <c r="A208" s="8"/>
      <c r="B208" s="7"/>
      <c r="C208" s="3" t="s">
        <v>146</v>
      </c>
      <c r="D208" s="4">
        <v>20</v>
      </c>
      <c r="E208" s="3" t="s">
        <v>95</v>
      </c>
    </row>
    <row r="209" spans="1:5" x14ac:dyDescent="0.3">
      <c r="A209" s="8"/>
      <c r="B209" s="7"/>
      <c r="C209" s="3" t="s">
        <v>246</v>
      </c>
      <c r="D209" s="4">
        <v>1</v>
      </c>
      <c r="E209" s="3" t="s">
        <v>94</v>
      </c>
    </row>
    <row r="210" spans="1:5" x14ac:dyDescent="0.3">
      <c r="A210" s="8"/>
      <c r="B210" s="7"/>
      <c r="C210" s="3" t="s">
        <v>234</v>
      </c>
      <c r="D210" s="4">
        <v>500</v>
      </c>
      <c r="E210" s="3" t="s">
        <v>99</v>
      </c>
    </row>
    <row r="211" spans="1:5" x14ac:dyDescent="0.3">
      <c r="A211" s="8"/>
      <c r="B211" s="7"/>
      <c r="C211" s="3" t="s">
        <v>93</v>
      </c>
      <c r="D211" s="4">
        <v>100</v>
      </c>
      <c r="E211" s="3" t="s">
        <v>95</v>
      </c>
    </row>
    <row r="212" spans="1:5" x14ac:dyDescent="0.3">
      <c r="A212" s="8"/>
      <c r="B212" s="7"/>
      <c r="C212" s="3" t="s">
        <v>122</v>
      </c>
      <c r="D212" s="4">
        <v>1</v>
      </c>
      <c r="E212" s="3" t="s">
        <v>94</v>
      </c>
    </row>
    <row r="213" spans="1:5" x14ac:dyDescent="0.3">
      <c r="A213" s="8"/>
      <c r="B213" s="7"/>
      <c r="C213" s="3" t="s">
        <v>114</v>
      </c>
      <c r="D213" s="4">
        <v>1</v>
      </c>
      <c r="E213" s="3" t="s">
        <v>94</v>
      </c>
    </row>
    <row r="214" spans="1:5" x14ac:dyDescent="0.3">
      <c r="A214" s="8"/>
      <c r="B214" s="7"/>
      <c r="C214" s="3" t="s">
        <v>115</v>
      </c>
      <c r="D214" s="4">
        <v>1</v>
      </c>
      <c r="E214" s="3" t="s">
        <v>94</v>
      </c>
    </row>
    <row r="215" spans="1:5" x14ac:dyDescent="0.3">
      <c r="A215" s="8"/>
      <c r="B215" s="7"/>
      <c r="C215" s="3" t="s">
        <v>202</v>
      </c>
      <c r="D215" s="4">
        <v>1</v>
      </c>
      <c r="E215" s="3" t="s">
        <v>107</v>
      </c>
    </row>
    <row r="216" spans="1:5" x14ac:dyDescent="0.3">
      <c r="A216" s="8"/>
      <c r="B216" s="7"/>
      <c r="C216" s="3" t="s">
        <v>116</v>
      </c>
      <c r="D216" s="4">
        <v>1</v>
      </c>
      <c r="E216" s="3" t="s">
        <v>94</v>
      </c>
    </row>
  </sheetData>
  <mergeCells count="28">
    <mergeCell ref="B188:B201"/>
    <mergeCell ref="A188:A201"/>
    <mergeCell ref="B202:B216"/>
    <mergeCell ref="A202:A216"/>
    <mergeCell ref="B147:B159"/>
    <mergeCell ref="A147:A159"/>
    <mergeCell ref="B160:B171"/>
    <mergeCell ref="A160:A171"/>
    <mergeCell ref="B172:B187"/>
    <mergeCell ref="A172:A187"/>
    <mergeCell ref="B97:B114"/>
    <mergeCell ref="A97:A114"/>
    <mergeCell ref="B115:B128"/>
    <mergeCell ref="A115:A128"/>
    <mergeCell ref="B129:B146"/>
    <mergeCell ref="A129:A146"/>
    <mergeCell ref="B48:B65"/>
    <mergeCell ref="A48:A65"/>
    <mergeCell ref="B66:B82"/>
    <mergeCell ref="A66:A82"/>
    <mergeCell ref="B83:B96"/>
    <mergeCell ref="A83:A96"/>
    <mergeCell ref="B2:B14"/>
    <mergeCell ref="A2:A14"/>
    <mergeCell ref="B15:B35"/>
    <mergeCell ref="A15:A35"/>
    <mergeCell ref="B36:B47"/>
    <mergeCell ref="A36:A47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ED69396-AEFB-47E7-ACEB-F5F6B062BC31}">
          <x14:formula1>
            <xm:f>Otros!$B$3:$B$6</xm:f>
          </x14:formula1>
          <xm:sqref>E2:E1048576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D76CA-B1D1-4483-A288-0D6F5583FCA8}">
  <dimension ref="A1:E186"/>
  <sheetViews>
    <sheetView workbookViewId="0">
      <pane ySplit="1" topLeftCell="A2" activePane="bottomLeft" state="frozen"/>
      <selection activeCell="B2" sqref="B2:B28"/>
      <selection pane="bottomLeft" activeCell="B2" sqref="B2:B36"/>
    </sheetView>
  </sheetViews>
  <sheetFormatPr baseColWidth="10" defaultRowHeight="14.4" x14ac:dyDescent="0.3"/>
  <cols>
    <col min="1" max="1" width="39.77734375" style="10" bestFit="1" customWidth="1"/>
    <col min="2" max="2" width="10.33203125" style="10" customWidth="1"/>
    <col min="3" max="3" width="17.88671875" style="14" bestFit="1" customWidth="1"/>
    <col min="4" max="4" width="11.5546875" style="16"/>
    <col min="5" max="5" width="11.5546875" style="10"/>
    <col min="6" max="16384" width="11.5546875" style="12"/>
  </cols>
  <sheetData>
    <row r="1" spans="1:5" x14ac:dyDescent="0.3">
      <c r="A1" s="3" t="str">
        <f>Sopas!A1</f>
        <v>Plato</v>
      </c>
      <c r="B1" s="3" t="s">
        <v>225</v>
      </c>
      <c r="C1" s="3" t="str">
        <f>Sopas!C1</f>
        <v>Ingredientes</v>
      </c>
      <c r="D1" s="4" t="str">
        <f>Sopas!D1</f>
        <v>Cantidades</v>
      </c>
      <c r="E1" s="3" t="str">
        <f>Sopas!E1</f>
        <v>Unidades</v>
      </c>
    </row>
    <row r="2" spans="1:5" x14ac:dyDescent="0.3">
      <c r="A2" s="7" t="s">
        <v>63</v>
      </c>
      <c r="B2" s="7">
        <v>529</v>
      </c>
      <c r="C2" s="3" t="s">
        <v>289</v>
      </c>
      <c r="D2" s="4">
        <v>800</v>
      </c>
      <c r="E2" s="3" t="s">
        <v>95</v>
      </c>
    </row>
    <row r="3" spans="1:5" x14ac:dyDescent="0.3">
      <c r="A3" s="7"/>
      <c r="B3" s="7"/>
      <c r="C3" s="2" t="s">
        <v>290</v>
      </c>
      <c r="D3" s="5">
        <v>100</v>
      </c>
      <c r="E3" s="3" t="s">
        <v>95</v>
      </c>
    </row>
    <row r="4" spans="1:5" x14ac:dyDescent="0.3">
      <c r="A4" s="7"/>
      <c r="B4" s="7"/>
      <c r="C4" s="2" t="s">
        <v>126</v>
      </c>
      <c r="D4" s="5">
        <v>4</v>
      </c>
      <c r="E4" s="3" t="s">
        <v>94</v>
      </c>
    </row>
    <row r="5" spans="1:5" x14ac:dyDescent="0.3">
      <c r="A5" s="7"/>
      <c r="B5" s="7"/>
      <c r="C5" s="2" t="s">
        <v>101</v>
      </c>
      <c r="D5" s="5">
        <v>2</v>
      </c>
      <c r="E5" s="3" t="s">
        <v>94</v>
      </c>
    </row>
    <row r="6" spans="1:5" x14ac:dyDescent="0.3">
      <c r="A6" s="7"/>
      <c r="B6" s="7"/>
      <c r="C6" s="2" t="s">
        <v>291</v>
      </c>
      <c r="D6" s="5">
        <v>2</v>
      </c>
      <c r="E6" s="3" t="s">
        <v>94</v>
      </c>
    </row>
    <row r="7" spans="1:5" x14ac:dyDescent="0.3">
      <c r="A7" s="7"/>
      <c r="B7" s="7"/>
      <c r="C7" s="2" t="s">
        <v>238</v>
      </c>
      <c r="D7" s="5">
        <v>800</v>
      </c>
      <c r="E7" s="3" t="s">
        <v>95</v>
      </c>
    </row>
    <row r="8" spans="1:5" x14ac:dyDescent="0.3">
      <c r="A8" s="7"/>
      <c r="B8" s="7"/>
      <c r="C8" s="2" t="s">
        <v>122</v>
      </c>
      <c r="D8" s="5">
        <v>1</v>
      </c>
      <c r="E8" s="3" t="s">
        <v>94</v>
      </c>
    </row>
    <row r="9" spans="1:5" x14ac:dyDescent="0.3">
      <c r="A9" s="7"/>
      <c r="B9" s="7"/>
      <c r="C9" s="2" t="s">
        <v>114</v>
      </c>
      <c r="D9" s="5">
        <v>1</v>
      </c>
      <c r="E9" s="3" t="s">
        <v>94</v>
      </c>
    </row>
    <row r="10" spans="1:5" x14ac:dyDescent="0.3">
      <c r="A10" s="7"/>
      <c r="B10" s="7"/>
      <c r="C10" s="2" t="s">
        <v>116</v>
      </c>
      <c r="D10" s="5">
        <v>1</v>
      </c>
      <c r="E10" s="3" t="s">
        <v>94</v>
      </c>
    </row>
    <row r="11" spans="1:5" x14ac:dyDescent="0.3">
      <c r="A11" s="7" t="s">
        <v>64</v>
      </c>
      <c r="B11" s="7">
        <v>536</v>
      </c>
      <c r="C11" s="2" t="s">
        <v>289</v>
      </c>
      <c r="D11" s="5">
        <v>800</v>
      </c>
      <c r="E11" s="3" t="s">
        <v>95</v>
      </c>
    </row>
    <row r="12" spans="1:5" x14ac:dyDescent="0.3">
      <c r="A12" s="7"/>
      <c r="B12" s="7"/>
      <c r="C12" s="2" t="s">
        <v>126</v>
      </c>
      <c r="D12" s="5">
        <v>24</v>
      </c>
      <c r="E12" s="3" t="s">
        <v>94</v>
      </c>
    </row>
    <row r="13" spans="1:5" x14ac:dyDescent="0.3">
      <c r="A13" s="7"/>
      <c r="B13" s="7"/>
      <c r="C13" s="2" t="s">
        <v>183</v>
      </c>
      <c r="D13" s="5">
        <v>4</v>
      </c>
      <c r="E13" s="3" t="s">
        <v>94</v>
      </c>
    </row>
    <row r="14" spans="1:5" x14ac:dyDescent="0.3">
      <c r="A14" s="7"/>
      <c r="B14" s="7"/>
      <c r="C14" s="2" t="s">
        <v>153</v>
      </c>
      <c r="D14" s="5">
        <v>1</v>
      </c>
      <c r="E14" s="3" t="s">
        <v>94</v>
      </c>
    </row>
    <row r="15" spans="1:5" x14ac:dyDescent="0.3">
      <c r="A15" s="7"/>
      <c r="B15" s="7"/>
      <c r="C15" s="2" t="s">
        <v>93</v>
      </c>
      <c r="D15" s="5">
        <v>1</v>
      </c>
      <c r="E15" s="3" t="s">
        <v>94</v>
      </c>
    </row>
    <row r="16" spans="1:5" x14ac:dyDescent="0.3">
      <c r="A16" s="7"/>
      <c r="B16" s="7"/>
      <c r="C16" s="2" t="s">
        <v>292</v>
      </c>
      <c r="D16" s="5">
        <v>175</v>
      </c>
      <c r="E16" s="3" t="s">
        <v>95</v>
      </c>
    </row>
    <row r="17" spans="1:5" x14ac:dyDescent="0.3">
      <c r="A17" s="7"/>
      <c r="B17" s="7"/>
      <c r="C17" s="2" t="s">
        <v>122</v>
      </c>
      <c r="D17" s="5">
        <v>1</v>
      </c>
      <c r="E17" s="3" t="s">
        <v>94</v>
      </c>
    </row>
    <row r="18" spans="1:5" x14ac:dyDescent="0.3">
      <c r="A18" s="7"/>
      <c r="B18" s="7"/>
      <c r="C18" s="2" t="s">
        <v>121</v>
      </c>
      <c r="D18" s="5">
        <v>1</v>
      </c>
      <c r="E18" s="3" t="s">
        <v>107</v>
      </c>
    </row>
    <row r="19" spans="1:5" x14ac:dyDescent="0.3">
      <c r="A19" s="7"/>
      <c r="B19" s="7"/>
      <c r="C19" s="2" t="s">
        <v>114</v>
      </c>
      <c r="D19" s="5">
        <v>1</v>
      </c>
      <c r="E19" s="3" t="s">
        <v>94</v>
      </c>
    </row>
    <row r="20" spans="1:5" x14ac:dyDescent="0.3">
      <c r="A20" s="7"/>
      <c r="B20" s="7"/>
      <c r="C20" s="2" t="s">
        <v>166</v>
      </c>
      <c r="D20" s="5">
        <v>1</v>
      </c>
      <c r="E20" s="3" t="s">
        <v>107</v>
      </c>
    </row>
    <row r="21" spans="1:5" x14ac:dyDescent="0.3">
      <c r="A21" s="7"/>
      <c r="B21" s="7"/>
      <c r="C21" s="2" t="s">
        <v>116</v>
      </c>
      <c r="D21" s="5">
        <v>1</v>
      </c>
      <c r="E21" s="3" t="s">
        <v>94</v>
      </c>
    </row>
    <row r="22" spans="1:5" x14ac:dyDescent="0.3">
      <c r="A22" s="7" t="s">
        <v>65</v>
      </c>
      <c r="B22" s="7">
        <v>541</v>
      </c>
      <c r="C22" s="2" t="s">
        <v>233</v>
      </c>
      <c r="D22" s="5">
        <v>800</v>
      </c>
      <c r="E22" s="3" t="s">
        <v>95</v>
      </c>
    </row>
    <row r="23" spans="1:5" x14ac:dyDescent="0.3">
      <c r="A23" s="7"/>
      <c r="B23" s="7"/>
      <c r="C23" s="2" t="s">
        <v>246</v>
      </c>
      <c r="D23" s="5">
        <v>1</v>
      </c>
      <c r="E23" s="3" t="s">
        <v>94</v>
      </c>
    </row>
    <row r="24" spans="1:5" x14ac:dyDescent="0.3">
      <c r="A24" s="7"/>
      <c r="B24" s="7"/>
      <c r="C24" s="2" t="s">
        <v>126</v>
      </c>
      <c r="D24" s="5">
        <v>1</v>
      </c>
      <c r="E24" s="3" t="s">
        <v>94</v>
      </c>
    </row>
    <row r="25" spans="1:5" x14ac:dyDescent="0.3">
      <c r="A25" s="7"/>
      <c r="B25" s="7"/>
      <c r="C25" s="2" t="s">
        <v>122</v>
      </c>
      <c r="D25" s="5">
        <v>175</v>
      </c>
      <c r="E25" s="3" t="s">
        <v>99</v>
      </c>
    </row>
    <row r="26" spans="1:5" x14ac:dyDescent="0.3">
      <c r="A26" s="7"/>
      <c r="B26" s="7"/>
      <c r="C26" s="2" t="s">
        <v>270</v>
      </c>
      <c r="D26" s="5">
        <v>2</v>
      </c>
      <c r="E26" s="3" t="s">
        <v>94</v>
      </c>
    </row>
    <row r="27" spans="1:5" x14ac:dyDescent="0.3">
      <c r="A27" s="7"/>
      <c r="B27" s="7"/>
      <c r="C27" s="2" t="s">
        <v>294</v>
      </c>
      <c r="D27" s="5">
        <v>6</v>
      </c>
      <c r="E27" s="3" t="s">
        <v>94</v>
      </c>
    </row>
    <row r="28" spans="1:5" x14ac:dyDescent="0.3">
      <c r="A28" s="7"/>
      <c r="B28" s="7"/>
      <c r="C28" s="2" t="s">
        <v>114</v>
      </c>
      <c r="D28" s="5">
        <v>1</v>
      </c>
      <c r="E28" s="3" t="s">
        <v>94</v>
      </c>
    </row>
    <row r="29" spans="1:5" x14ac:dyDescent="0.3">
      <c r="A29" s="7"/>
      <c r="B29" s="7"/>
      <c r="C29" s="2" t="s">
        <v>115</v>
      </c>
      <c r="D29" s="5">
        <v>1</v>
      </c>
      <c r="E29" s="3" t="s">
        <v>94</v>
      </c>
    </row>
    <row r="30" spans="1:5" x14ac:dyDescent="0.3">
      <c r="A30" s="7"/>
      <c r="B30" s="7"/>
      <c r="C30" s="2" t="s">
        <v>116</v>
      </c>
      <c r="D30" s="5">
        <v>1</v>
      </c>
      <c r="E30" s="3" t="s">
        <v>94</v>
      </c>
    </row>
    <row r="31" spans="1:5" x14ac:dyDescent="0.3">
      <c r="A31" s="7"/>
      <c r="B31" s="7"/>
      <c r="C31" s="2" t="s">
        <v>241</v>
      </c>
      <c r="D31" s="5">
        <v>1</v>
      </c>
      <c r="E31" s="3" t="s">
        <v>94</v>
      </c>
    </row>
    <row r="32" spans="1:5" x14ac:dyDescent="0.3">
      <c r="A32" s="7"/>
      <c r="B32" s="7"/>
      <c r="C32" s="2" t="s">
        <v>295</v>
      </c>
      <c r="D32" s="5">
        <v>1</v>
      </c>
      <c r="E32" s="3" t="s">
        <v>94</v>
      </c>
    </row>
    <row r="33" spans="1:5" x14ac:dyDescent="0.3">
      <c r="A33" s="7"/>
      <c r="B33" s="7"/>
      <c r="C33" s="2" t="s">
        <v>296</v>
      </c>
      <c r="D33" s="5">
        <v>1</v>
      </c>
      <c r="E33" s="3" t="s">
        <v>107</v>
      </c>
    </row>
    <row r="34" spans="1:5" x14ac:dyDescent="0.3">
      <c r="A34" s="7"/>
      <c r="B34" s="7"/>
      <c r="C34" s="2" t="s">
        <v>92</v>
      </c>
      <c r="D34" s="5">
        <v>0.5</v>
      </c>
      <c r="E34" s="3" t="s">
        <v>94</v>
      </c>
    </row>
    <row r="35" spans="1:5" x14ac:dyDescent="0.3">
      <c r="A35" s="7"/>
      <c r="B35" s="7"/>
      <c r="C35" s="2" t="s">
        <v>297</v>
      </c>
      <c r="D35" s="5">
        <v>8</v>
      </c>
      <c r="E35" s="3" t="s">
        <v>94</v>
      </c>
    </row>
    <row r="36" spans="1:5" x14ac:dyDescent="0.3">
      <c r="A36" s="7"/>
      <c r="B36" s="7"/>
      <c r="C36" s="2" t="s">
        <v>116</v>
      </c>
      <c r="D36" s="5">
        <v>1</v>
      </c>
      <c r="E36" s="3" t="s">
        <v>94</v>
      </c>
    </row>
    <row r="37" spans="1:5" x14ac:dyDescent="0.3">
      <c r="A37" s="7" t="s">
        <v>66</v>
      </c>
      <c r="B37" s="7">
        <v>548</v>
      </c>
      <c r="C37" s="2" t="s">
        <v>289</v>
      </c>
      <c r="D37" s="5">
        <v>800</v>
      </c>
      <c r="E37" s="3" t="s">
        <v>95</v>
      </c>
    </row>
    <row r="38" spans="1:5" x14ac:dyDescent="0.3">
      <c r="A38" s="7"/>
      <c r="B38" s="7"/>
      <c r="C38" s="2" t="s">
        <v>302</v>
      </c>
      <c r="D38" s="5">
        <v>120</v>
      </c>
      <c r="E38" s="3" t="s">
        <v>95</v>
      </c>
    </row>
    <row r="39" spans="1:5" x14ac:dyDescent="0.3">
      <c r="A39" s="7"/>
      <c r="B39" s="7"/>
      <c r="C39" s="2" t="s">
        <v>303</v>
      </c>
      <c r="D39" s="5">
        <v>0.25</v>
      </c>
      <c r="E39" s="3" t="s">
        <v>94</v>
      </c>
    </row>
    <row r="40" spans="1:5" x14ac:dyDescent="0.3">
      <c r="A40" s="7"/>
      <c r="B40" s="7"/>
      <c r="C40" s="2" t="s">
        <v>246</v>
      </c>
      <c r="D40" s="5">
        <v>1</v>
      </c>
      <c r="E40" s="3" t="s">
        <v>94</v>
      </c>
    </row>
    <row r="41" spans="1:5" x14ac:dyDescent="0.3">
      <c r="A41" s="7"/>
      <c r="B41" s="7"/>
      <c r="C41" s="2" t="s">
        <v>120</v>
      </c>
      <c r="D41" s="5">
        <v>1</v>
      </c>
      <c r="E41" s="3" t="s">
        <v>94</v>
      </c>
    </row>
    <row r="42" spans="1:5" x14ac:dyDescent="0.3">
      <c r="A42" s="7"/>
      <c r="B42" s="7"/>
      <c r="C42" s="2" t="s">
        <v>122</v>
      </c>
      <c r="D42" s="5">
        <v>1</v>
      </c>
      <c r="E42" s="3" t="s">
        <v>94</v>
      </c>
    </row>
    <row r="43" spans="1:5" x14ac:dyDescent="0.3">
      <c r="A43" s="7"/>
      <c r="B43" s="7"/>
      <c r="C43" s="2" t="s">
        <v>114</v>
      </c>
      <c r="D43" s="5">
        <v>1</v>
      </c>
      <c r="E43" s="3" t="s">
        <v>94</v>
      </c>
    </row>
    <row r="44" spans="1:5" x14ac:dyDescent="0.3">
      <c r="A44" s="7"/>
      <c r="B44" s="7"/>
      <c r="C44" s="2" t="s">
        <v>115</v>
      </c>
      <c r="D44" s="5">
        <v>1</v>
      </c>
      <c r="E44" s="3" t="s">
        <v>94</v>
      </c>
    </row>
    <row r="45" spans="1:5" x14ac:dyDescent="0.3">
      <c r="A45" s="7"/>
      <c r="B45" s="7"/>
      <c r="C45" s="2" t="s">
        <v>116</v>
      </c>
      <c r="D45" s="5">
        <v>1</v>
      </c>
      <c r="E45" s="3" t="s">
        <v>94</v>
      </c>
    </row>
    <row r="46" spans="1:5" x14ac:dyDescent="0.3">
      <c r="A46" s="7" t="s">
        <v>67</v>
      </c>
      <c r="B46" s="7">
        <v>550</v>
      </c>
      <c r="C46" s="2" t="s">
        <v>233</v>
      </c>
      <c r="D46" s="5">
        <v>400</v>
      </c>
      <c r="E46" s="3" t="s">
        <v>95</v>
      </c>
    </row>
    <row r="47" spans="1:5" x14ac:dyDescent="0.3">
      <c r="A47" s="7"/>
      <c r="B47" s="7"/>
      <c r="C47" s="2" t="s">
        <v>305</v>
      </c>
      <c r="D47" s="5">
        <v>50</v>
      </c>
      <c r="E47" s="3" t="s">
        <v>95</v>
      </c>
    </row>
    <row r="48" spans="1:5" x14ac:dyDescent="0.3">
      <c r="A48" s="7"/>
      <c r="B48" s="7"/>
      <c r="C48" s="2" t="s">
        <v>306</v>
      </c>
      <c r="D48" s="5">
        <v>4</v>
      </c>
      <c r="E48" s="3" t="s">
        <v>94</v>
      </c>
    </row>
    <row r="49" spans="1:5" x14ac:dyDescent="0.3">
      <c r="A49" s="7"/>
      <c r="B49" s="7"/>
      <c r="C49" s="2" t="s">
        <v>246</v>
      </c>
      <c r="D49" s="5">
        <v>1</v>
      </c>
      <c r="E49" s="3" t="s">
        <v>94</v>
      </c>
    </row>
    <row r="50" spans="1:5" x14ac:dyDescent="0.3">
      <c r="A50" s="7"/>
      <c r="B50" s="7"/>
      <c r="C50" s="2" t="s">
        <v>93</v>
      </c>
      <c r="D50" s="5">
        <v>1</v>
      </c>
      <c r="E50" s="3" t="s">
        <v>94</v>
      </c>
    </row>
    <row r="51" spans="1:5" x14ac:dyDescent="0.3">
      <c r="A51" s="7"/>
      <c r="B51" s="7"/>
      <c r="C51" s="2" t="s">
        <v>307</v>
      </c>
      <c r="D51" s="5">
        <v>3</v>
      </c>
      <c r="E51" s="3" t="s">
        <v>94</v>
      </c>
    </row>
    <row r="52" spans="1:5" x14ac:dyDescent="0.3">
      <c r="A52" s="7"/>
      <c r="B52" s="7"/>
      <c r="C52" s="2" t="s">
        <v>92</v>
      </c>
      <c r="D52" s="5">
        <v>0.5</v>
      </c>
      <c r="E52" s="3" t="s">
        <v>94</v>
      </c>
    </row>
    <row r="53" spans="1:5" x14ac:dyDescent="0.3">
      <c r="A53" s="7"/>
      <c r="B53" s="7"/>
      <c r="C53" s="2" t="s">
        <v>296</v>
      </c>
      <c r="D53" s="5">
        <v>125</v>
      </c>
      <c r="E53" s="3" t="s">
        <v>95</v>
      </c>
    </row>
    <row r="54" spans="1:5" x14ac:dyDescent="0.3">
      <c r="A54" s="7"/>
      <c r="B54" s="7"/>
      <c r="C54" s="2" t="s">
        <v>308</v>
      </c>
      <c r="D54" s="5">
        <v>4</v>
      </c>
      <c r="E54" s="3" t="s">
        <v>94</v>
      </c>
    </row>
    <row r="55" spans="1:5" x14ac:dyDescent="0.3">
      <c r="A55" s="7"/>
      <c r="B55" s="7"/>
      <c r="C55" s="2" t="s">
        <v>309</v>
      </c>
      <c r="D55" s="5">
        <v>4</v>
      </c>
      <c r="E55" s="3" t="s">
        <v>94</v>
      </c>
    </row>
    <row r="56" spans="1:5" x14ac:dyDescent="0.3">
      <c r="A56" s="7"/>
      <c r="B56" s="7"/>
      <c r="C56" s="2" t="s">
        <v>122</v>
      </c>
      <c r="D56" s="5">
        <v>1</v>
      </c>
      <c r="E56" s="3" t="s">
        <v>94</v>
      </c>
    </row>
    <row r="57" spans="1:5" x14ac:dyDescent="0.3">
      <c r="A57" s="7"/>
      <c r="B57" s="7"/>
      <c r="C57" s="2" t="s">
        <v>114</v>
      </c>
      <c r="D57" s="5">
        <v>1</v>
      </c>
      <c r="E57" s="3" t="s">
        <v>94</v>
      </c>
    </row>
    <row r="58" spans="1:5" x14ac:dyDescent="0.3">
      <c r="A58" s="7"/>
      <c r="B58" s="7"/>
      <c r="C58" s="2" t="s">
        <v>116</v>
      </c>
      <c r="D58" s="5">
        <v>1</v>
      </c>
      <c r="E58" s="3" t="s">
        <v>94</v>
      </c>
    </row>
    <row r="59" spans="1:5" x14ac:dyDescent="0.3">
      <c r="A59" s="7" t="s">
        <v>68</v>
      </c>
      <c r="B59" s="7">
        <v>556</v>
      </c>
      <c r="C59" s="2" t="s">
        <v>298</v>
      </c>
      <c r="D59" s="5">
        <v>400</v>
      </c>
      <c r="E59" s="3" t="s">
        <v>95</v>
      </c>
    </row>
    <row r="60" spans="1:5" x14ac:dyDescent="0.3">
      <c r="A60" s="7"/>
      <c r="B60" s="7"/>
      <c r="C60" s="2" t="s">
        <v>153</v>
      </c>
      <c r="D60" s="5">
        <v>4</v>
      </c>
      <c r="E60" s="3" t="s">
        <v>94</v>
      </c>
    </row>
    <row r="61" spans="1:5" x14ac:dyDescent="0.3">
      <c r="A61" s="7"/>
      <c r="B61" s="7"/>
      <c r="C61" s="2" t="s">
        <v>126</v>
      </c>
      <c r="D61" s="5">
        <v>4</v>
      </c>
      <c r="E61" s="3" t="s">
        <v>94</v>
      </c>
    </row>
    <row r="62" spans="1:5" x14ac:dyDescent="0.3">
      <c r="A62" s="7"/>
      <c r="B62" s="7"/>
      <c r="C62" s="2" t="s">
        <v>122</v>
      </c>
      <c r="D62" s="5">
        <v>1</v>
      </c>
      <c r="E62" s="3" t="s">
        <v>94</v>
      </c>
    </row>
    <row r="63" spans="1:5" x14ac:dyDescent="0.3">
      <c r="A63" s="7"/>
      <c r="B63" s="7"/>
      <c r="C63" s="2" t="s">
        <v>114</v>
      </c>
      <c r="D63" s="5">
        <v>1</v>
      </c>
      <c r="E63" s="3" t="s">
        <v>94</v>
      </c>
    </row>
    <row r="64" spans="1:5" x14ac:dyDescent="0.3">
      <c r="A64" s="7"/>
      <c r="B64" s="7"/>
      <c r="C64" s="2" t="s">
        <v>254</v>
      </c>
      <c r="D64" s="5">
        <v>1</v>
      </c>
      <c r="E64" s="3" t="s">
        <v>94</v>
      </c>
    </row>
    <row r="65" spans="1:5" x14ac:dyDescent="0.3">
      <c r="A65" s="7"/>
      <c r="B65" s="7"/>
      <c r="C65" s="2" t="s">
        <v>116</v>
      </c>
      <c r="D65" s="5">
        <v>1</v>
      </c>
      <c r="E65" s="3" t="s">
        <v>94</v>
      </c>
    </row>
    <row r="66" spans="1:5" x14ac:dyDescent="0.3">
      <c r="A66" s="7" t="s">
        <v>69</v>
      </c>
      <c r="B66" s="7">
        <v>558</v>
      </c>
      <c r="C66" s="2" t="s">
        <v>299</v>
      </c>
      <c r="D66" s="5">
        <v>8</v>
      </c>
      <c r="E66" s="3" t="s">
        <v>94</v>
      </c>
    </row>
    <row r="67" spans="1:5" x14ac:dyDescent="0.3">
      <c r="A67" s="7"/>
      <c r="B67" s="7"/>
      <c r="C67" s="2" t="s">
        <v>310</v>
      </c>
      <c r="D67" s="5">
        <v>2</v>
      </c>
      <c r="E67" s="3" t="s">
        <v>94</v>
      </c>
    </row>
    <row r="68" spans="1:5" x14ac:dyDescent="0.3">
      <c r="A68" s="7"/>
      <c r="B68" s="7"/>
      <c r="C68" s="2" t="s">
        <v>220</v>
      </c>
      <c r="D68" s="5">
        <v>12</v>
      </c>
      <c r="E68" s="3" t="s">
        <v>94</v>
      </c>
    </row>
    <row r="69" spans="1:5" x14ac:dyDescent="0.3">
      <c r="A69" s="7"/>
      <c r="B69" s="7"/>
      <c r="C69" s="2" t="s">
        <v>153</v>
      </c>
      <c r="D69" s="5">
        <v>1</v>
      </c>
      <c r="E69" s="3" t="s">
        <v>94</v>
      </c>
    </row>
    <row r="70" spans="1:5" x14ac:dyDescent="0.3">
      <c r="A70" s="7"/>
      <c r="B70" s="7"/>
      <c r="C70" s="2" t="s">
        <v>122</v>
      </c>
      <c r="D70" s="5">
        <v>1</v>
      </c>
      <c r="E70" s="3" t="s">
        <v>94</v>
      </c>
    </row>
    <row r="71" spans="1:5" x14ac:dyDescent="0.3">
      <c r="A71" s="7"/>
      <c r="B71" s="7"/>
      <c r="C71" s="2" t="s">
        <v>114</v>
      </c>
      <c r="D71" s="5">
        <v>1</v>
      </c>
      <c r="E71" s="3" t="s">
        <v>94</v>
      </c>
    </row>
    <row r="72" spans="1:5" x14ac:dyDescent="0.3">
      <c r="A72" s="7"/>
      <c r="B72" s="7"/>
      <c r="C72" s="2" t="s">
        <v>115</v>
      </c>
      <c r="D72" s="5">
        <v>1</v>
      </c>
      <c r="E72" s="3" t="s">
        <v>94</v>
      </c>
    </row>
    <row r="73" spans="1:5" x14ac:dyDescent="0.3">
      <c r="A73" s="7"/>
      <c r="B73" s="7"/>
      <c r="C73" s="2" t="s">
        <v>116</v>
      </c>
      <c r="D73" s="5">
        <v>1</v>
      </c>
      <c r="E73" s="3" t="s">
        <v>94</v>
      </c>
    </row>
    <row r="74" spans="1:5" x14ac:dyDescent="0.3">
      <c r="A74" s="7"/>
      <c r="B74" s="7"/>
      <c r="C74" s="2" t="s">
        <v>295</v>
      </c>
      <c r="D74" s="5">
        <v>3</v>
      </c>
      <c r="E74" s="3" t="s">
        <v>94</v>
      </c>
    </row>
    <row r="75" spans="1:5" x14ac:dyDescent="0.3">
      <c r="A75" s="7"/>
      <c r="B75" s="7"/>
      <c r="C75" s="2" t="s">
        <v>311</v>
      </c>
      <c r="D75" s="5">
        <v>120</v>
      </c>
      <c r="E75" s="3" t="s">
        <v>99</v>
      </c>
    </row>
    <row r="76" spans="1:5" x14ac:dyDescent="0.3">
      <c r="A76" s="7"/>
      <c r="B76" s="7"/>
      <c r="C76" s="2" t="s">
        <v>234</v>
      </c>
      <c r="D76" s="5">
        <v>100</v>
      </c>
      <c r="E76" s="3" t="s">
        <v>99</v>
      </c>
    </row>
    <row r="77" spans="1:5" x14ac:dyDescent="0.3">
      <c r="A77" s="7"/>
      <c r="B77" s="7"/>
      <c r="C77" s="2" t="s">
        <v>122</v>
      </c>
      <c r="D77" s="5">
        <v>2</v>
      </c>
      <c r="E77" s="3" t="s">
        <v>107</v>
      </c>
    </row>
    <row r="78" spans="1:5" x14ac:dyDescent="0.3">
      <c r="A78" s="7"/>
      <c r="B78" s="7"/>
      <c r="C78" s="2" t="s">
        <v>294</v>
      </c>
      <c r="D78" s="5">
        <v>1</v>
      </c>
      <c r="E78" s="3" t="s">
        <v>94</v>
      </c>
    </row>
    <row r="79" spans="1:5" x14ac:dyDescent="0.3">
      <c r="A79" s="7"/>
      <c r="B79" s="7"/>
      <c r="C79" s="2" t="s">
        <v>312</v>
      </c>
      <c r="D79" s="5">
        <v>1</v>
      </c>
      <c r="E79" s="3" t="s">
        <v>107</v>
      </c>
    </row>
    <row r="80" spans="1:5" x14ac:dyDescent="0.3">
      <c r="A80" s="7"/>
      <c r="B80" s="7"/>
      <c r="C80" s="2" t="s">
        <v>116</v>
      </c>
      <c r="D80" s="5">
        <v>1</v>
      </c>
      <c r="E80" s="3" t="s">
        <v>94</v>
      </c>
    </row>
    <row r="81" spans="1:5" x14ac:dyDescent="0.3">
      <c r="A81" s="7" t="s">
        <v>70</v>
      </c>
      <c r="B81" s="7">
        <v>562</v>
      </c>
      <c r="C81" s="2" t="s">
        <v>251</v>
      </c>
      <c r="D81" s="5">
        <f>8*75</f>
        <v>600</v>
      </c>
      <c r="E81" s="3" t="s">
        <v>95</v>
      </c>
    </row>
    <row r="82" spans="1:5" x14ac:dyDescent="0.3">
      <c r="A82" s="7"/>
      <c r="B82" s="7"/>
      <c r="C82" s="2" t="s">
        <v>283</v>
      </c>
      <c r="D82" s="5">
        <v>250</v>
      </c>
      <c r="E82" s="3" t="s">
        <v>99</v>
      </c>
    </row>
    <row r="83" spans="1:5" x14ac:dyDescent="0.3">
      <c r="A83" s="7"/>
      <c r="B83" s="7"/>
      <c r="C83" s="2" t="s">
        <v>144</v>
      </c>
      <c r="D83" s="5">
        <v>2</v>
      </c>
      <c r="E83" s="3" t="s">
        <v>94</v>
      </c>
    </row>
    <row r="84" spans="1:5" x14ac:dyDescent="0.3">
      <c r="A84" s="7"/>
      <c r="B84" s="7"/>
      <c r="C84" s="2" t="s">
        <v>126</v>
      </c>
      <c r="D84" s="5">
        <v>2</v>
      </c>
      <c r="E84" s="3" t="s">
        <v>94</v>
      </c>
    </row>
    <row r="85" spans="1:5" x14ac:dyDescent="0.3">
      <c r="A85" s="7"/>
      <c r="B85" s="7"/>
      <c r="C85" s="2" t="s">
        <v>313</v>
      </c>
      <c r="D85" s="5">
        <v>2</v>
      </c>
      <c r="E85" s="3" t="s">
        <v>94</v>
      </c>
    </row>
    <row r="86" spans="1:5" x14ac:dyDescent="0.3">
      <c r="A86" s="7"/>
      <c r="B86" s="7"/>
      <c r="C86" s="2" t="s">
        <v>117</v>
      </c>
      <c r="D86" s="5">
        <v>1</v>
      </c>
      <c r="E86" s="3" t="s">
        <v>94</v>
      </c>
    </row>
    <row r="87" spans="1:5" x14ac:dyDescent="0.3">
      <c r="A87" s="7"/>
      <c r="B87" s="7"/>
      <c r="C87" s="2" t="s">
        <v>230</v>
      </c>
      <c r="D87" s="5">
        <v>250</v>
      </c>
      <c r="E87" s="3" t="s">
        <v>99</v>
      </c>
    </row>
    <row r="88" spans="1:5" x14ac:dyDescent="0.3">
      <c r="A88" s="7"/>
      <c r="B88" s="7"/>
      <c r="C88" s="2" t="s">
        <v>93</v>
      </c>
      <c r="D88" s="5">
        <v>1</v>
      </c>
      <c r="E88" s="3" t="s">
        <v>94</v>
      </c>
    </row>
    <row r="89" spans="1:5" x14ac:dyDescent="0.3">
      <c r="A89" s="7"/>
      <c r="B89" s="7"/>
      <c r="C89" s="2" t="s">
        <v>252</v>
      </c>
      <c r="D89" s="5">
        <v>150</v>
      </c>
      <c r="E89" s="3" t="s">
        <v>99</v>
      </c>
    </row>
    <row r="90" spans="1:5" x14ac:dyDescent="0.3">
      <c r="A90" s="7"/>
      <c r="B90" s="7"/>
      <c r="C90" s="2" t="s">
        <v>122</v>
      </c>
      <c r="D90" s="5">
        <v>1</v>
      </c>
      <c r="E90" s="3" t="s">
        <v>94</v>
      </c>
    </row>
    <row r="91" spans="1:5" x14ac:dyDescent="0.3">
      <c r="A91" s="7"/>
      <c r="B91" s="7"/>
      <c r="C91" s="2" t="s">
        <v>114</v>
      </c>
      <c r="D91" s="5">
        <v>1</v>
      </c>
      <c r="E91" s="3" t="s">
        <v>94</v>
      </c>
    </row>
    <row r="92" spans="1:5" x14ac:dyDescent="0.3">
      <c r="A92" s="7"/>
      <c r="B92" s="7"/>
      <c r="C92" s="2" t="s">
        <v>272</v>
      </c>
      <c r="D92" s="5">
        <v>1</v>
      </c>
      <c r="E92" s="3" t="s">
        <v>107</v>
      </c>
    </row>
    <row r="93" spans="1:5" x14ac:dyDescent="0.3">
      <c r="A93" s="7"/>
      <c r="B93" s="7"/>
      <c r="C93" s="2" t="s">
        <v>115</v>
      </c>
      <c r="D93" s="5">
        <v>1</v>
      </c>
      <c r="E93" s="3" t="s">
        <v>94</v>
      </c>
    </row>
    <row r="94" spans="1:5" x14ac:dyDescent="0.3">
      <c r="A94" s="7"/>
      <c r="B94" s="7"/>
      <c r="C94" s="2" t="s">
        <v>116</v>
      </c>
      <c r="D94" s="5">
        <v>1</v>
      </c>
      <c r="E94" s="3" t="s">
        <v>94</v>
      </c>
    </row>
    <row r="95" spans="1:5" x14ac:dyDescent="0.3">
      <c r="A95" s="7" t="s">
        <v>71</v>
      </c>
      <c r="B95" s="7">
        <v>574</v>
      </c>
      <c r="C95" s="2" t="s">
        <v>300</v>
      </c>
      <c r="D95" s="5">
        <v>800</v>
      </c>
      <c r="E95" s="3" t="s">
        <v>95</v>
      </c>
    </row>
    <row r="96" spans="1:5" x14ac:dyDescent="0.3">
      <c r="A96" s="7"/>
      <c r="B96" s="7"/>
      <c r="C96" s="2" t="s">
        <v>165</v>
      </c>
      <c r="D96" s="5">
        <v>200</v>
      </c>
      <c r="E96" s="3" t="s">
        <v>95</v>
      </c>
    </row>
    <row r="97" spans="1:5" x14ac:dyDescent="0.3">
      <c r="A97" s="7"/>
      <c r="B97" s="7"/>
      <c r="C97" s="2" t="s">
        <v>98</v>
      </c>
      <c r="D97" s="5">
        <v>250</v>
      </c>
      <c r="E97" s="3" t="s">
        <v>99</v>
      </c>
    </row>
    <row r="98" spans="1:5" x14ac:dyDescent="0.3">
      <c r="A98" s="7"/>
      <c r="B98" s="7"/>
      <c r="C98" s="2" t="s">
        <v>144</v>
      </c>
      <c r="D98" s="5">
        <v>1</v>
      </c>
      <c r="E98" s="3" t="s">
        <v>94</v>
      </c>
    </row>
    <row r="99" spans="1:5" x14ac:dyDescent="0.3">
      <c r="A99" s="7"/>
      <c r="B99" s="7"/>
      <c r="C99" s="2" t="s">
        <v>314</v>
      </c>
      <c r="D99" s="5">
        <v>2</v>
      </c>
      <c r="E99" s="3" t="s">
        <v>94</v>
      </c>
    </row>
    <row r="100" spans="1:5" x14ac:dyDescent="0.3">
      <c r="A100" s="7"/>
      <c r="B100" s="7"/>
      <c r="C100" s="2" t="s">
        <v>122</v>
      </c>
      <c r="D100" s="5">
        <v>1</v>
      </c>
      <c r="E100" s="3" t="s">
        <v>94</v>
      </c>
    </row>
    <row r="101" spans="1:5" x14ac:dyDescent="0.3">
      <c r="A101" s="7"/>
      <c r="B101" s="7"/>
      <c r="C101" s="2" t="s">
        <v>114</v>
      </c>
      <c r="D101" s="5">
        <v>1</v>
      </c>
      <c r="E101" s="3" t="s">
        <v>94</v>
      </c>
    </row>
    <row r="102" spans="1:5" x14ac:dyDescent="0.3">
      <c r="A102" s="7"/>
      <c r="B102" s="7"/>
      <c r="C102" s="2" t="s">
        <v>115</v>
      </c>
      <c r="D102" s="5">
        <v>1</v>
      </c>
      <c r="E102" s="3" t="s">
        <v>94</v>
      </c>
    </row>
    <row r="103" spans="1:5" x14ac:dyDescent="0.3">
      <c r="A103" s="7"/>
      <c r="B103" s="7"/>
      <c r="C103" s="2" t="s">
        <v>166</v>
      </c>
      <c r="D103" s="5">
        <v>1</v>
      </c>
      <c r="E103" s="3" t="s">
        <v>107</v>
      </c>
    </row>
    <row r="104" spans="1:5" x14ac:dyDescent="0.3">
      <c r="A104" s="7"/>
      <c r="B104" s="7"/>
      <c r="C104" s="2" t="s">
        <v>116</v>
      </c>
      <c r="D104" s="5">
        <v>1</v>
      </c>
      <c r="E104" s="3" t="s">
        <v>94</v>
      </c>
    </row>
    <row r="105" spans="1:5" x14ac:dyDescent="0.3">
      <c r="A105" s="7"/>
      <c r="B105" s="7"/>
      <c r="C105" s="2" t="s">
        <v>315</v>
      </c>
      <c r="D105" s="5">
        <v>16</v>
      </c>
      <c r="E105" s="3" t="s">
        <v>94</v>
      </c>
    </row>
    <row r="106" spans="1:5" x14ac:dyDescent="0.3">
      <c r="A106" s="7"/>
      <c r="B106" s="7"/>
      <c r="C106" s="2" t="s">
        <v>122</v>
      </c>
      <c r="D106" s="5">
        <v>4</v>
      </c>
      <c r="E106" s="3" t="s">
        <v>107</v>
      </c>
    </row>
    <row r="107" spans="1:5" x14ac:dyDescent="0.3">
      <c r="A107" s="7"/>
      <c r="B107" s="7"/>
      <c r="C107" s="2" t="s">
        <v>121</v>
      </c>
      <c r="D107" s="5">
        <v>1</v>
      </c>
      <c r="E107" s="3" t="s">
        <v>107</v>
      </c>
    </row>
    <row r="108" spans="1:5" x14ac:dyDescent="0.3">
      <c r="A108" s="7"/>
      <c r="B108" s="7"/>
      <c r="C108" s="2" t="s">
        <v>114</v>
      </c>
      <c r="D108" s="5">
        <v>1</v>
      </c>
      <c r="E108" s="3" t="s">
        <v>107</v>
      </c>
    </row>
    <row r="109" spans="1:5" x14ac:dyDescent="0.3">
      <c r="A109" s="7" t="s">
        <v>72</v>
      </c>
      <c r="B109" s="7">
        <v>576</v>
      </c>
      <c r="C109" s="2" t="s">
        <v>233</v>
      </c>
      <c r="D109" s="5">
        <v>700</v>
      </c>
      <c r="E109" s="3" t="s">
        <v>95</v>
      </c>
    </row>
    <row r="110" spans="1:5" x14ac:dyDescent="0.3">
      <c r="A110" s="7"/>
      <c r="B110" s="7"/>
      <c r="C110" s="2" t="s">
        <v>304</v>
      </c>
      <c r="D110" s="5">
        <v>400</v>
      </c>
      <c r="E110" s="3" t="s">
        <v>95</v>
      </c>
    </row>
    <row r="111" spans="1:5" x14ac:dyDescent="0.3">
      <c r="A111" s="7"/>
      <c r="B111" s="7"/>
      <c r="C111" s="2" t="s">
        <v>122</v>
      </c>
      <c r="D111" s="5">
        <v>1</v>
      </c>
      <c r="E111" s="3" t="s">
        <v>94</v>
      </c>
    </row>
    <row r="112" spans="1:5" x14ac:dyDescent="0.3">
      <c r="A112" s="7"/>
      <c r="B112" s="7"/>
      <c r="C112" s="2" t="s">
        <v>114</v>
      </c>
      <c r="D112" s="5">
        <v>1</v>
      </c>
      <c r="E112" s="3" t="s">
        <v>94</v>
      </c>
    </row>
    <row r="113" spans="1:5" x14ac:dyDescent="0.3">
      <c r="A113" s="7"/>
      <c r="B113" s="7"/>
      <c r="C113" s="2" t="s">
        <v>115</v>
      </c>
      <c r="D113" s="5">
        <v>1</v>
      </c>
      <c r="E113" s="3" t="s">
        <v>94</v>
      </c>
    </row>
    <row r="114" spans="1:5" x14ac:dyDescent="0.3">
      <c r="A114" s="7"/>
      <c r="B114" s="7"/>
      <c r="C114" s="2" t="s">
        <v>116</v>
      </c>
      <c r="D114" s="5">
        <v>1</v>
      </c>
      <c r="E114" s="3" t="s">
        <v>94</v>
      </c>
    </row>
    <row r="115" spans="1:5" x14ac:dyDescent="0.3">
      <c r="A115" s="7"/>
      <c r="B115" s="7"/>
      <c r="C115" s="2" t="s">
        <v>92</v>
      </c>
      <c r="D115" s="5">
        <v>2</v>
      </c>
      <c r="E115" s="3" t="s">
        <v>94</v>
      </c>
    </row>
    <row r="116" spans="1:5" x14ac:dyDescent="0.3">
      <c r="A116" s="7"/>
      <c r="B116" s="7"/>
      <c r="C116" s="2" t="s">
        <v>126</v>
      </c>
      <c r="D116" s="5">
        <v>2</v>
      </c>
      <c r="E116" s="3" t="s">
        <v>94</v>
      </c>
    </row>
    <row r="117" spans="1:5" x14ac:dyDescent="0.3">
      <c r="A117" s="7"/>
      <c r="B117" s="7"/>
      <c r="C117" s="2" t="s">
        <v>246</v>
      </c>
      <c r="D117" s="5">
        <v>0.5</v>
      </c>
      <c r="E117" s="3" t="s">
        <v>94</v>
      </c>
    </row>
    <row r="118" spans="1:5" x14ac:dyDescent="0.3">
      <c r="A118" s="7"/>
      <c r="B118" s="7"/>
      <c r="C118" s="2" t="s">
        <v>145</v>
      </c>
      <c r="D118" s="5">
        <v>150</v>
      </c>
      <c r="E118" s="3" t="s">
        <v>99</v>
      </c>
    </row>
    <row r="119" spans="1:5" x14ac:dyDescent="0.3">
      <c r="A119" s="7"/>
      <c r="B119" s="7"/>
      <c r="C119" s="2" t="s">
        <v>182</v>
      </c>
      <c r="D119" s="5">
        <v>1</v>
      </c>
      <c r="E119" s="3" t="s">
        <v>107</v>
      </c>
    </row>
    <row r="120" spans="1:5" x14ac:dyDescent="0.3">
      <c r="A120" s="7"/>
      <c r="B120" s="7"/>
      <c r="C120" s="2" t="s">
        <v>234</v>
      </c>
      <c r="D120" s="5">
        <v>100</v>
      </c>
      <c r="E120" s="3" t="s">
        <v>99</v>
      </c>
    </row>
    <row r="121" spans="1:5" x14ac:dyDescent="0.3">
      <c r="A121" s="7"/>
      <c r="B121" s="7"/>
      <c r="C121" s="2" t="s">
        <v>266</v>
      </c>
      <c r="D121" s="5">
        <v>1</v>
      </c>
      <c r="E121" s="3" t="s">
        <v>107</v>
      </c>
    </row>
    <row r="122" spans="1:5" x14ac:dyDescent="0.3">
      <c r="A122" s="7"/>
      <c r="B122" s="7"/>
      <c r="C122" s="2" t="s">
        <v>316</v>
      </c>
      <c r="D122" s="5">
        <v>20</v>
      </c>
      <c r="E122" s="3" t="s">
        <v>95</v>
      </c>
    </row>
    <row r="123" spans="1:5" x14ac:dyDescent="0.3">
      <c r="A123" s="7"/>
      <c r="B123" s="7"/>
      <c r="C123" s="2" t="s">
        <v>122</v>
      </c>
      <c r="D123" s="5">
        <v>2</v>
      </c>
      <c r="E123" s="3" t="s">
        <v>107</v>
      </c>
    </row>
    <row r="124" spans="1:5" x14ac:dyDescent="0.3">
      <c r="A124" s="7"/>
      <c r="B124" s="7"/>
      <c r="C124" s="2" t="s">
        <v>161</v>
      </c>
      <c r="D124" s="5">
        <v>1</v>
      </c>
      <c r="E124" s="3" t="s">
        <v>94</v>
      </c>
    </row>
    <row r="125" spans="1:5" x14ac:dyDescent="0.3">
      <c r="A125" s="7" t="s">
        <v>73</v>
      </c>
      <c r="B125" s="7">
        <v>577</v>
      </c>
      <c r="C125" s="2" t="s">
        <v>233</v>
      </c>
      <c r="D125" s="5">
        <v>800</v>
      </c>
      <c r="E125" s="3" t="s">
        <v>95</v>
      </c>
    </row>
    <row r="126" spans="1:5" x14ac:dyDescent="0.3">
      <c r="A126" s="7"/>
      <c r="B126" s="7"/>
      <c r="C126" s="2" t="s">
        <v>317</v>
      </c>
      <c r="D126" s="5">
        <v>100</v>
      </c>
      <c r="E126" s="3" t="s">
        <v>95</v>
      </c>
    </row>
    <row r="127" spans="1:5" x14ac:dyDescent="0.3">
      <c r="A127" s="7"/>
      <c r="B127" s="7"/>
      <c r="C127" s="2" t="s">
        <v>122</v>
      </c>
      <c r="D127" s="5">
        <v>1</v>
      </c>
      <c r="E127" s="3" t="s">
        <v>94</v>
      </c>
    </row>
    <row r="128" spans="1:5" x14ac:dyDescent="0.3">
      <c r="A128" s="7"/>
      <c r="B128" s="7"/>
      <c r="C128" s="2" t="s">
        <v>114</v>
      </c>
      <c r="D128" s="5">
        <v>1</v>
      </c>
      <c r="E128" s="3" t="s">
        <v>94</v>
      </c>
    </row>
    <row r="129" spans="1:5" x14ac:dyDescent="0.3">
      <c r="A129" s="7"/>
      <c r="B129" s="7"/>
      <c r="C129" s="2" t="s">
        <v>116</v>
      </c>
      <c r="D129" s="5">
        <v>1</v>
      </c>
      <c r="E129" s="3" t="s">
        <v>94</v>
      </c>
    </row>
    <row r="130" spans="1:5" x14ac:dyDescent="0.3">
      <c r="A130" s="7"/>
      <c r="B130" s="7"/>
      <c r="C130" s="2" t="s">
        <v>287</v>
      </c>
      <c r="D130" s="5">
        <v>2</v>
      </c>
      <c r="E130" s="3" t="s">
        <v>107</v>
      </c>
    </row>
    <row r="131" spans="1:5" x14ac:dyDescent="0.3">
      <c r="A131" s="7"/>
      <c r="B131" s="7"/>
      <c r="C131" s="2" t="s">
        <v>318</v>
      </c>
      <c r="D131" s="5">
        <v>1</v>
      </c>
      <c r="E131" s="3" t="s">
        <v>107</v>
      </c>
    </row>
    <row r="132" spans="1:5" x14ac:dyDescent="0.3">
      <c r="A132" s="7"/>
      <c r="B132" s="7"/>
      <c r="C132" s="2" t="s">
        <v>272</v>
      </c>
      <c r="D132" s="5">
        <v>1</v>
      </c>
      <c r="E132" s="3" t="s">
        <v>107</v>
      </c>
    </row>
    <row r="133" spans="1:5" x14ac:dyDescent="0.3">
      <c r="A133" s="7"/>
      <c r="B133" s="7"/>
      <c r="C133" s="2" t="s">
        <v>116</v>
      </c>
      <c r="D133" s="5">
        <v>2</v>
      </c>
      <c r="E133" s="3" t="s">
        <v>107</v>
      </c>
    </row>
    <row r="134" spans="1:5" x14ac:dyDescent="0.3">
      <c r="A134" s="7"/>
      <c r="B134" s="7"/>
      <c r="C134" s="2" t="s">
        <v>263</v>
      </c>
      <c r="D134" s="5">
        <v>1</v>
      </c>
      <c r="E134" s="3" t="s">
        <v>107</v>
      </c>
    </row>
    <row r="135" spans="1:5" x14ac:dyDescent="0.3">
      <c r="A135" s="7"/>
      <c r="B135" s="7"/>
      <c r="C135" s="2" t="s">
        <v>270</v>
      </c>
      <c r="D135" s="5">
        <v>2</v>
      </c>
      <c r="E135" s="3" t="s">
        <v>107</v>
      </c>
    </row>
    <row r="136" spans="1:5" x14ac:dyDescent="0.3">
      <c r="A136" s="7"/>
      <c r="B136" s="7"/>
      <c r="C136" s="2" t="s">
        <v>158</v>
      </c>
      <c r="D136" s="5">
        <v>2</v>
      </c>
      <c r="E136" s="3" t="s">
        <v>107</v>
      </c>
    </row>
    <row r="137" spans="1:5" x14ac:dyDescent="0.3">
      <c r="A137" s="7"/>
      <c r="B137" s="7"/>
      <c r="C137" s="2" t="s">
        <v>176</v>
      </c>
      <c r="D137" s="5">
        <v>1</v>
      </c>
      <c r="E137" s="3" t="s">
        <v>107</v>
      </c>
    </row>
    <row r="138" spans="1:5" x14ac:dyDescent="0.3">
      <c r="A138" s="7"/>
      <c r="B138" s="7"/>
      <c r="C138" s="2" t="s">
        <v>126</v>
      </c>
      <c r="D138" s="5">
        <v>3</v>
      </c>
      <c r="E138" s="3" t="s">
        <v>94</v>
      </c>
    </row>
    <row r="139" spans="1:5" x14ac:dyDescent="0.3">
      <c r="A139" s="7"/>
      <c r="B139" s="7"/>
      <c r="C139" s="2" t="s">
        <v>122</v>
      </c>
      <c r="D139" s="5">
        <v>60</v>
      </c>
      <c r="E139" s="3" t="s">
        <v>99</v>
      </c>
    </row>
    <row r="140" spans="1:5" x14ac:dyDescent="0.3">
      <c r="A140" s="7"/>
      <c r="B140" s="7"/>
      <c r="C140" s="2" t="s">
        <v>140</v>
      </c>
      <c r="D140" s="5">
        <v>1</v>
      </c>
      <c r="E140" s="3" t="s">
        <v>107</v>
      </c>
    </row>
    <row r="141" spans="1:5" x14ac:dyDescent="0.3">
      <c r="A141" s="7"/>
      <c r="B141" s="7"/>
      <c r="C141" s="2" t="s">
        <v>182</v>
      </c>
      <c r="D141" s="5">
        <v>1</v>
      </c>
      <c r="E141" s="3" t="s">
        <v>107</v>
      </c>
    </row>
    <row r="142" spans="1:5" x14ac:dyDescent="0.3">
      <c r="A142" s="7" t="s">
        <v>74</v>
      </c>
      <c r="B142" s="7">
        <v>588</v>
      </c>
      <c r="C142" s="2" t="s">
        <v>289</v>
      </c>
      <c r="D142" s="5">
        <v>800</v>
      </c>
      <c r="E142" s="3" t="s">
        <v>95</v>
      </c>
    </row>
    <row r="143" spans="1:5" x14ac:dyDescent="0.3">
      <c r="A143" s="7"/>
      <c r="B143" s="7"/>
      <c r="C143" s="2" t="s">
        <v>319</v>
      </c>
      <c r="D143" s="5">
        <v>1</v>
      </c>
      <c r="E143" s="3" t="s">
        <v>94</v>
      </c>
    </row>
    <row r="144" spans="1:5" x14ac:dyDescent="0.3">
      <c r="A144" s="7"/>
      <c r="B144" s="7"/>
      <c r="C144" s="2" t="s">
        <v>144</v>
      </c>
      <c r="D144" s="5">
        <v>1</v>
      </c>
      <c r="E144" s="3" t="s">
        <v>94</v>
      </c>
    </row>
    <row r="145" spans="1:5" x14ac:dyDescent="0.3">
      <c r="A145" s="7"/>
      <c r="B145" s="7"/>
      <c r="C145" s="2" t="s">
        <v>153</v>
      </c>
      <c r="D145" s="5">
        <v>1</v>
      </c>
      <c r="E145" s="3" t="s">
        <v>94</v>
      </c>
    </row>
    <row r="146" spans="1:5" x14ac:dyDescent="0.3">
      <c r="A146" s="7"/>
      <c r="B146" s="7"/>
      <c r="C146" s="2" t="s">
        <v>126</v>
      </c>
      <c r="D146" s="5">
        <v>3</v>
      </c>
      <c r="E146" s="3" t="s">
        <v>94</v>
      </c>
    </row>
    <row r="147" spans="1:5" x14ac:dyDescent="0.3">
      <c r="A147" s="7"/>
      <c r="B147" s="7"/>
      <c r="C147" s="2" t="s">
        <v>93</v>
      </c>
      <c r="D147" s="5">
        <v>1</v>
      </c>
      <c r="E147" s="3" t="s">
        <v>94</v>
      </c>
    </row>
    <row r="148" spans="1:5" x14ac:dyDescent="0.3">
      <c r="A148" s="7"/>
      <c r="B148" s="7"/>
      <c r="C148" s="2" t="s">
        <v>252</v>
      </c>
      <c r="D148" s="5">
        <v>300</v>
      </c>
      <c r="E148" s="3" t="s">
        <v>99</v>
      </c>
    </row>
    <row r="149" spans="1:5" x14ac:dyDescent="0.3">
      <c r="A149" s="7"/>
      <c r="B149" s="7"/>
      <c r="C149" s="2" t="s">
        <v>122</v>
      </c>
      <c r="D149" s="5">
        <v>1</v>
      </c>
      <c r="E149" s="3" t="s">
        <v>94</v>
      </c>
    </row>
    <row r="150" spans="1:5" x14ac:dyDescent="0.3">
      <c r="A150" s="7"/>
      <c r="B150" s="7"/>
      <c r="C150" s="2" t="s">
        <v>121</v>
      </c>
      <c r="D150" s="5">
        <v>1</v>
      </c>
      <c r="E150" s="3" t="s">
        <v>94</v>
      </c>
    </row>
    <row r="151" spans="1:5" x14ac:dyDescent="0.3">
      <c r="A151" s="7"/>
      <c r="B151" s="7"/>
      <c r="C151" s="2" t="s">
        <v>116</v>
      </c>
      <c r="D151" s="5">
        <v>1</v>
      </c>
      <c r="E151" s="3" t="s">
        <v>94</v>
      </c>
    </row>
    <row r="152" spans="1:5" x14ac:dyDescent="0.3">
      <c r="A152" s="7"/>
      <c r="B152" s="7"/>
      <c r="C152" s="2" t="s">
        <v>166</v>
      </c>
      <c r="D152" s="5">
        <v>1</v>
      </c>
      <c r="E152" s="3" t="s">
        <v>94</v>
      </c>
    </row>
    <row r="153" spans="1:5" x14ac:dyDescent="0.3">
      <c r="A153" s="7"/>
      <c r="B153" s="7"/>
      <c r="C153" s="2" t="s">
        <v>114</v>
      </c>
      <c r="D153" s="5">
        <v>1</v>
      </c>
      <c r="E153" s="3" t="s">
        <v>94</v>
      </c>
    </row>
    <row r="154" spans="1:5" x14ac:dyDescent="0.3">
      <c r="A154" s="7" t="s">
        <v>75</v>
      </c>
      <c r="B154" s="7">
        <v>592</v>
      </c>
      <c r="C154" s="2" t="s">
        <v>301</v>
      </c>
      <c r="D154" s="5">
        <v>600</v>
      </c>
      <c r="E154" s="3" t="s">
        <v>95</v>
      </c>
    </row>
    <row r="155" spans="1:5" x14ac:dyDescent="0.3">
      <c r="A155" s="7"/>
      <c r="B155" s="7"/>
      <c r="C155" s="2" t="s">
        <v>144</v>
      </c>
      <c r="D155" s="5">
        <v>3</v>
      </c>
      <c r="E155" s="3" t="s">
        <v>94</v>
      </c>
    </row>
    <row r="156" spans="1:5" x14ac:dyDescent="0.3">
      <c r="A156" s="7"/>
      <c r="B156" s="7"/>
      <c r="C156" s="2" t="s">
        <v>101</v>
      </c>
      <c r="D156" s="5">
        <v>2</v>
      </c>
      <c r="E156" s="3" t="s">
        <v>94</v>
      </c>
    </row>
    <row r="157" spans="1:5" x14ac:dyDescent="0.3">
      <c r="A157" s="7"/>
      <c r="B157" s="7"/>
      <c r="C157" s="2" t="s">
        <v>126</v>
      </c>
      <c r="D157" s="5">
        <v>2</v>
      </c>
      <c r="E157" s="3" t="s">
        <v>94</v>
      </c>
    </row>
    <row r="158" spans="1:5" x14ac:dyDescent="0.3">
      <c r="A158" s="7"/>
      <c r="B158" s="7"/>
      <c r="C158" s="2" t="s">
        <v>98</v>
      </c>
      <c r="D158" s="5">
        <v>100</v>
      </c>
      <c r="E158" s="3" t="s">
        <v>99</v>
      </c>
    </row>
    <row r="159" spans="1:5" x14ac:dyDescent="0.3">
      <c r="A159" s="7"/>
      <c r="B159" s="7"/>
      <c r="C159" s="2" t="s">
        <v>320</v>
      </c>
      <c r="D159" s="5">
        <v>12</v>
      </c>
      <c r="E159" s="3" t="s">
        <v>94</v>
      </c>
    </row>
    <row r="160" spans="1:5" x14ac:dyDescent="0.3">
      <c r="A160" s="7"/>
      <c r="B160" s="7"/>
      <c r="C160" s="2" t="s">
        <v>122</v>
      </c>
      <c r="D160" s="5">
        <v>1</v>
      </c>
      <c r="E160" s="3" t="s">
        <v>94</v>
      </c>
    </row>
    <row r="161" spans="1:5" x14ac:dyDescent="0.3">
      <c r="A161" s="7"/>
      <c r="B161" s="7"/>
      <c r="C161" s="2" t="s">
        <v>321</v>
      </c>
      <c r="D161" s="5">
        <v>2</v>
      </c>
      <c r="E161" s="3" t="s">
        <v>107</v>
      </c>
    </row>
    <row r="162" spans="1:5" x14ac:dyDescent="0.3">
      <c r="A162" s="7"/>
      <c r="B162" s="7"/>
      <c r="C162" s="2" t="s">
        <v>114</v>
      </c>
      <c r="D162" s="5">
        <v>1</v>
      </c>
      <c r="E162" s="3" t="s">
        <v>94</v>
      </c>
    </row>
    <row r="163" spans="1:5" x14ac:dyDescent="0.3">
      <c r="A163" s="7"/>
      <c r="B163" s="7"/>
      <c r="C163" s="2" t="s">
        <v>115</v>
      </c>
      <c r="D163" s="5">
        <v>1</v>
      </c>
      <c r="E163" s="3" t="s">
        <v>94</v>
      </c>
    </row>
    <row r="164" spans="1:5" x14ac:dyDescent="0.3">
      <c r="A164" s="7"/>
      <c r="B164" s="7"/>
      <c r="C164" s="2" t="s">
        <v>116</v>
      </c>
      <c r="D164" s="5">
        <v>1</v>
      </c>
      <c r="E164" s="3" t="s">
        <v>94</v>
      </c>
    </row>
    <row r="165" spans="1:5" x14ac:dyDescent="0.3">
      <c r="A165" s="7" t="s">
        <v>76</v>
      </c>
      <c r="B165" s="7">
        <v>596</v>
      </c>
      <c r="C165" s="2" t="s">
        <v>293</v>
      </c>
      <c r="D165" s="5">
        <v>600</v>
      </c>
      <c r="E165" s="3" t="s">
        <v>95</v>
      </c>
    </row>
    <row r="166" spans="1:5" x14ac:dyDescent="0.3">
      <c r="A166" s="7"/>
      <c r="B166" s="7"/>
      <c r="C166" s="2" t="s">
        <v>290</v>
      </c>
      <c r="D166" s="5">
        <v>200</v>
      </c>
      <c r="E166" s="3" t="s">
        <v>95</v>
      </c>
    </row>
    <row r="167" spans="1:5" x14ac:dyDescent="0.3">
      <c r="A167" s="7"/>
      <c r="B167" s="7"/>
      <c r="C167" s="2" t="s">
        <v>122</v>
      </c>
      <c r="D167" s="5">
        <v>1</v>
      </c>
      <c r="E167" s="3" t="s">
        <v>94</v>
      </c>
    </row>
    <row r="168" spans="1:5" x14ac:dyDescent="0.3">
      <c r="A168" s="7"/>
      <c r="B168" s="7"/>
      <c r="C168" s="2" t="s">
        <v>114</v>
      </c>
      <c r="D168" s="5">
        <v>1</v>
      </c>
      <c r="E168" s="3" t="s">
        <v>94</v>
      </c>
    </row>
    <row r="169" spans="1:5" x14ac:dyDescent="0.3">
      <c r="A169" s="7"/>
      <c r="B169" s="7"/>
      <c r="C169" s="2" t="s">
        <v>115</v>
      </c>
      <c r="D169" s="5">
        <v>1</v>
      </c>
      <c r="E169" s="3" t="s">
        <v>94</v>
      </c>
    </row>
    <row r="170" spans="1:5" x14ac:dyDescent="0.3">
      <c r="A170" s="7"/>
      <c r="B170" s="7"/>
      <c r="C170" s="2" t="s">
        <v>116</v>
      </c>
      <c r="D170" s="5">
        <v>1</v>
      </c>
      <c r="E170" s="3" t="s">
        <v>94</v>
      </c>
    </row>
    <row r="171" spans="1:5" x14ac:dyDescent="0.3">
      <c r="A171" s="7"/>
      <c r="B171" s="7"/>
      <c r="C171" s="2" t="s">
        <v>136</v>
      </c>
      <c r="D171" s="5">
        <v>4</v>
      </c>
      <c r="E171" s="3" t="s">
        <v>107</v>
      </c>
    </row>
    <row r="172" spans="1:5" x14ac:dyDescent="0.3">
      <c r="A172" s="7"/>
      <c r="B172" s="7"/>
      <c r="C172" s="2" t="s">
        <v>264</v>
      </c>
      <c r="D172" s="5">
        <v>4</v>
      </c>
      <c r="E172" s="3" t="s">
        <v>107</v>
      </c>
    </row>
    <row r="173" spans="1:5" x14ac:dyDescent="0.3">
      <c r="A173" s="7"/>
      <c r="B173" s="7"/>
      <c r="C173" s="2" t="s">
        <v>265</v>
      </c>
      <c r="D173" s="5">
        <v>4</v>
      </c>
      <c r="E173" s="3" t="s">
        <v>107</v>
      </c>
    </row>
    <row r="174" spans="1:5" x14ac:dyDescent="0.3">
      <c r="A174" s="7"/>
      <c r="B174" s="7"/>
      <c r="C174" s="2" t="s">
        <v>263</v>
      </c>
      <c r="D174" s="5">
        <v>2</v>
      </c>
      <c r="E174" s="3" t="s">
        <v>107</v>
      </c>
    </row>
    <row r="175" spans="1:5" x14ac:dyDescent="0.3">
      <c r="A175" s="7"/>
      <c r="B175" s="7"/>
      <c r="C175" s="2" t="s">
        <v>266</v>
      </c>
      <c r="D175" s="5">
        <v>0.5</v>
      </c>
      <c r="E175" s="3" t="s">
        <v>107</v>
      </c>
    </row>
    <row r="176" spans="1:5" x14ac:dyDescent="0.3">
      <c r="A176" s="7"/>
      <c r="B176" s="7"/>
      <c r="C176" s="2" t="s">
        <v>180</v>
      </c>
      <c r="D176" s="5">
        <v>1</v>
      </c>
      <c r="E176" s="3" t="s">
        <v>94</v>
      </c>
    </row>
    <row r="177" spans="1:5" x14ac:dyDescent="0.3">
      <c r="A177" s="7"/>
      <c r="B177" s="7"/>
      <c r="C177" s="2" t="s">
        <v>246</v>
      </c>
      <c r="D177" s="5">
        <v>1</v>
      </c>
      <c r="E177" s="3" t="s">
        <v>94</v>
      </c>
    </row>
    <row r="178" spans="1:5" x14ac:dyDescent="0.3">
      <c r="A178" s="7" t="s">
        <v>77</v>
      </c>
      <c r="B178" s="7">
        <v>598</v>
      </c>
      <c r="C178" s="2" t="s">
        <v>322</v>
      </c>
      <c r="D178" s="5">
        <v>700</v>
      </c>
      <c r="E178" s="3" t="s">
        <v>95</v>
      </c>
    </row>
    <row r="179" spans="1:5" x14ac:dyDescent="0.3">
      <c r="A179" s="7"/>
      <c r="B179" s="7"/>
      <c r="C179" s="2" t="s">
        <v>153</v>
      </c>
      <c r="D179" s="5">
        <v>2</v>
      </c>
      <c r="E179" s="3" t="s">
        <v>94</v>
      </c>
    </row>
    <row r="180" spans="1:5" x14ac:dyDescent="0.3">
      <c r="A180" s="7"/>
      <c r="B180" s="7"/>
      <c r="C180" s="2" t="s">
        <v>93</v>
      </c>
      <c r="D180" s="5">
        <v>170</v>
      </c>
      <c r="E180" s="3" t="s">
        <v>95</v>
      </c>
    </row>
    <row r="181" spans="1:5" x14ac:dyDescent="0.3">
      <c r="A181" s="7"/>
      <c r="B181" s="7"/>
      <c r="C181" s="2" t="s">
        <v>323</v>
      </c>
      <c r="D181" s="5">
        <v>8</v>
      </c>
      <c r="E181" s="3" t="s">
        <v>95</v>
      </c>
    </row>
    <row r="182" spans="1:5" x14ac:dyDescent="0.3">
      <c r="A182" s="7"/>
      <c r="B182" s="7"/>
      <c r="C182" s="2" t="s">
        <v>324</v>
      </c>
      <c r="D182" s="5">
        <v>200</v>
      </c>
      <c r="E182" s="3" t="s">
        <v>99</v>
      </c>
    </row>
    <row r="183" spans="1:5" x14ac:dyDescent="0.3">
      <c r="A183" s="7"/>
      <c r="B183" s="7"/>
      <c r="C183" s="2" t="s">
        <v>92</v>
      </c>
      <c r="D183" s="5">
        <v>2</v>
      </c>
      <c r="E183" s="3" t="s">
        <v>94</v>
      </c>
    </row>
    <row r="184" spans="1:5" x14ac:dyDescent="0.3">
      <c r="A184" s="7"/>
      <c r="B184" s="7"/>
      <c r="C184" s="2" t="s">
        <v>122</v>
      </c>
      <c r="D184" s="5">
        <v>1</v>
      </c>
      <c r="E184" s="3" t="s">
        <v>94</v>
      </c>
    </row>
    <row r="185" spans="1:5" x14ac:dyDescent="0.3">
      <c r="A185" s="7"/>
      <c r="B185" s="7"/>
      <c r="C185" s="2" t="s">
        <v>114</v>
      </c>
      <c r="D185" s="5">
        <v>1</v>
      </c>
      <c r="E185" s="3" t="s">
        <v>94</v>
      </c>
    </row>
    <row r="186" spans="1:5" x14ac:dyDescent="0.3">
      <c r="A186" s="7"/>
      <c r="B186" s="7"/>
      <c r="C186" s="2" t="s">
        <v>116</v>
      </c>
      <c r="D186" s="5">
        <v>1</v>
      </c>
      <c r="E186" s="3" t="s">
        <v>94</v>
      </c>
    </row>
  </sheetData>
  <mergeCells count="30">
    <mergeCell ref="B154:B164"/>
    <mergeCell ref="A154:A164"/>
    <mergeCell ref="B165:B177"/>
    <mergeCell ref="A165:A177"/>
    <mergeCell ref="B178:B186"/>
    <mergeCell ref="A178:A186"/>
    <mergeCell ref="B109:B124"/>
    <mergeCell ref="A109:A124"/>
    <mergeCell ref="B125:B141"/>
    <mergeCell ref="A125:A141"/>
    <mergeCell ref="B142:B153"/>
    <mergeCell ref="A142:A153"/>
    <mergeCell ref="B66:B80"/>
    <mergeCell ref="A66:A80"/>
    <mergeCell ref="B81:B94"/>
    <mergeCell ref="A81:A94"/>
    <mergeCell ref="B95:B108"/>
    <mergeCell ref="A95:A108"/>
    <mergeCell ref="B37:B45"/>
    <mergeCell ref="A37:A45"/>
    <mergeCell ref="B46:B58"/>
    <mergeCell ref="A46:A58"/>
    <mergeCell ref="A59:A65"/>
    <mergeCell ref="B59:B65"/>
    <mergeCell ref="A2:A10"/>
    <mergeCell ref="B2:B10"/>
    <mergeCell ref="B11:B21"/>
    <mergeCell ref="A11:A21"/>
    <mergeCell ref="B22:B36"/>
    <mergeCell ref="A22:A36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8B6DC9-F592-4BD4-B22E-0141233580B8}">
          <x14:formula1>
            <xm:f>Otros!$B$3:$B$6</xm:f>
          </x14:formula1>
          <xm:sqref>E2:E1048576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B5DC5-38CB-4715-87EB-9DE1F71E8A72}">
  <dimension ref="A1:E120"/>
  <sheetViews>
    <sheetView workbookViewId="0">
      <pane ySplit="1" topLeftCell="A2" activePane="bottomLeft" state="frozen"/>
      <selection activeCell="B2" sqref="B2:B28"/>
      <selection pane="bottomLeft" activeCell="C7" sqref="C7:E7"/>
    </sheetView>
  </sheetViews>
  <sheetFormatPr baseColWidth="10" defaultRowHeight="14.4" x14ac:dyDescent="0.3"/>
  <cols>
    <col min="1" max="1" width="36.88671875" style="10" bestFit="1" customWidth="1"/>
    <col min="2" max="2" width="10.33203125" style="10" customWidth="1"/>
    <col min="3" max="3" width="28.77734375" style="12" bestFit="1" customWidth="1"/>
    <col min="4" max="16384" width="11.5546875" style="12"/>
  </cols>
  <sheetData>
    <row r="1" spans="1:5" x14ac:dyDescent="0.3">
      <c r="A1" s="3" t="str">
        <f>Sopas!A1</f>
        <v>Plato</v>
      </c>
      <c r="B1" s="3" t="s">
        <v>225</v>
      </c>
      <c r="C1" s="2" t="str">
        <f>Sopas!C1</f>
        <v>Ingredientes</v>
      </c>
      <c r="D1" s="4" t="str">
        <f>Sopas!D1</f>
        <v>Cantidades</v>
      </c>
      <c r="E1" s="3" t="str">
        <f>Sopas!E1</f>
        <v>Unidades</v>
      </c>
    </row>
    <row r="2" spans="1:5" x14ac:dyDescent="0.3">
      <c r="A2" s="7" t="s">
        <v>78</v>
      </c>
      <c r="B2" s="7">
        <v>618</v>
      </c>
      <c r="C2" s="2" t="s">
        <v>153</v>
      </c>
      <c r="D2" s="5">
        <v>4</v>
      </c>
      <c r="E2" s="3" t="s">
        <v>94</v>
      </c>
    </row>
    <row r="3" spans="1:5" x14ac:dyDescent="0.3">
      <c r="A3" s="7"/>
      <c r="B3" s="7"/>
      <c r="C3" s="2" t="s">
        <v>325</v>
      </c>
      <c r="D3" s="5">
        <v>4</v>
      </c>
      <c r="E3" s="3" t="s">
        <v>107</v>
      </c>
    </row>
    <row r="4" spans="1:5" x14ac:dyDescent="0.3">
      <c r="A4" s="7"/>
      <c r="B4" s="7"/>
      <c r="C4" s="2" t="s">
        <v>326</v>
      </c>
      <c r="D4" s="5">
        <v>50</v>
      </c>
      <c r="E4" s="3" t="s">
        <v>95</v>
      </c>
    </row>
    <row r="5" spans="1:5" x14ac:dyDescent="0.3">
      <c r="A5" s="7"/>
      <c r="B5" s="7"/>
      <c r="C5" s="2" t="s">
        <v>98</v>
      </c>
      <c r="D5" s="5">
        <v>500</v>
      </c>
      <c r="E5" s="3" t="s">
        <v>99</v>
      </c>
    </row>
    <row r="6" spans="1:5" x14ac:dyDescent="0.3">
      <c r="A6" s="7"/>
      <c r="B6" s="7"/>
      <c r="C6" s="2" t="s">
        <v>259</v>
      </c>
      <c r="D6" s="5">
        <v>100</v>
      </c>
      <c r="E6" s="3" t="s">
        <v>95</v>
      </c>
    </row>
    <row r="7" spans="1:5" x14ac:dyDescent="0.3">
      <c r="A7" s="7"/>
      <c r="B7" s="7"/>
      <c r="C7" s="2" t="s">
        <v>327</v>
      </c>
      <c r="D7" s="5">
        <v>150</v>
      </c>
      <c r="E7" s="3" t="s">
        <v>95</v>
      </c>
    </row>
    <row r="8" spans="1:5" x14ac:dyDescent="0.3">
      <c r="A8" s="7"/>
      <c r="B8" s="7"/>
      <c r="C8" s="2" t="s">
        <v>328</v>
      </c>
      <c r="D8" s="5">
        <v>15</v>
      </c>
      <c r="E8" s="3" t="s">
        <v>94</v>
      </c>
    </row>
    <row r="9" spans="1:5" x14ac:dyDescent="0.3">
      <c r="A9" s="7"/>
      <c r="B9" s="7"/>
      <c r="C9" s="2" t="s">
        <v>329</v>
      </c>
      <c r="D9" s="5">
        <v>1</v>
      </c>
      <c r="E9" s="3" t="s">
        <v>94</v>
      </c>
    </row>
    <row r="10" spans="1:5" x14ac:dyDescent="0.3">
      <c r="A10" s="7" t="s">
        <v>334</v>
      </c>
      <c r="B10" s="7">
        <v>622</v>
      </c>
      <c r="C10" s="2" t="s">
        <v>330</v>
      </c>
      <c r="D10" s="5">
        <v>210</v>
      </c>
      <c r="E10" s="3" t="s">
        <v>95</v>
      </c>
    </row>
    <row r="11" spans="1:5" x14ac:dyDescent="0.3">
      <c r="A11" s="7"/>
      <c r="B11" s="7"/>
      <c r="C11" s="2" t="s">
        <v>336</v>
      </c>
      <c r="D11" s="5">
        <v>340</v>
      </c>
      <c r="E11" s="3" t="s">
        <v>95</v>
      </c>
    </row>
    <row r="12" spans="1:5" x14ac:dyDescent="0.3">
      <c r="A12" s="7"/>
      <c r="B12" s="7"/>
      <c r="C12" s="2" t="s">
        <v>331</v>
      </c>
      <c r="D12" s="5">
        <v>30</v>
      </c>
      <c r="E12" s="3" t="s">
        <v>95</v>
      </c>
    </row>
    <row r="13" spans="1:5" x14ac:dyDescent="0.3">
      <c r="A13" s="7"/>
      <c r="B13" s="7"/>
      <c r="C13" s="2" t="s">
        <v>332</v>
      </c>
      <c r="D13" s="5">
        <v>1</v>
      </c>
      <c r="E13" s="3" t="s">
        <v>94</v>
      </c>
    </row>
    <row r="14" spans="1:5" x14ac:dyDescent="0.3">
      <c r="A14" s="7"/>
      <c r="B14" s="7"/>
      <c r="C14" s="2" t="s">
        <v>156</v>
      </c>
      <c r="D14" s="5">
        <v>200</v>
      </c>
      <c r="E14" s="3" t="s">
        <v>99</v>
      </c>
    </row>
    <row r="15" spans="1:5" x14ac:dyDescent="0.3">
      <c r="A15" s="7"/>
      <c r="B15" s="7"/>
      <c r="C15" s="2" t="s">
        <v>333</v>
      </c>
      <c r="D15" s="5">
        <v>200</v>
      </c>
      <c r="E15" s="3" t="s">
        <v>95</v>
      </c>
    </row>
    <row r="16" spans="1:5" x14ac:dyDescent="0.3">
      <c r="A16" s="7"/>
      <c r="B16" s="7"/>
      <c r="C16" s="2" t="s">
        <v>328</v>
      </c>
      <c r="D16" s="5">
        <v>16</v>
      </c>
      <c r="E16" s="3" t="s">
        <v>94</v>
      </c>
    </row>
    <row r="17" spans="1:5" x14ac:dyDescent="0.3">
      <c r="A17" s="7"/>
      <c r="B17" s="7"/>
      <c r="C17" s="2" t="s">
        <v>329</v>
      </c>
      <c r="D17" s="5">
        <v>1</v>
      </c>
      <c r="E17" s="3" t="s">
        <v>94</v>
      </c>
    </row>
    <row r="18" spans="1:5" x14ac:dyDescent="0.3">
      <c r="A18" s="7" t="s">
        <v>79</v>
      </c>
      <c r="B18" s="7">
        <v>628</v>
      </c>
      <c r="C18" s="2" t="s">
        <v>335</v>
      </c>
      <c r="D18" s="5">
        <v>1</v>
      </c>
      <c r="E18" s="3" t="s">
        <v>94</v>
      </c>
    </row>
    <row r="19" spans="1:5" x14ac:dyDescent="0.3">
      <c r="A19" s="7"/>
      <c r="B19" s="7"/>
      <c r="C19" s="2" t="s">
        <v>337</v>
      </c>
      <c r="D19" s="5">
        <v>125</v>
      </c>
      <c r="E19" s="3" t="s">
        <v>95</v>
      </c>
    </row>
    <row r="20" spans="1:5" x14ac:dyDescent="0.3">
      <c r="A20" s="7"/>
      <c r="B20" s="7"/>
      <c r="C20" s="2" t="s">
        <v>338</v>
      </c>
      <c r="D20" s="5">
        <v>125</v>
      </c>
      <c r="E20" s="3" t="s">
        <v>95</v>
      </c>
    </row>
    <row r="21" spans="1:5" x14ac:dyDescent="0.3">
      <c r="A21" s="7"/>
      <c r="B21" s="7"/>
      <c r="C21" s="2" t="s">
        <v>259</v>
      </c>
      <c r="D21" s="5">
        <v>50</v>
      </c>
      <c r="E21" s="3" t="s">
        <v>95</v>
      </c>
    </row>
    <row r="22" spans="1:5" x14ac:dyDescent="0.3">
      <c r="A22" s="7"/>
      <c r="B22" s="7"/>
      <c r="C22" s="2" t="s">
        <v>329</v>
      </c>
      <c r="D22" s="5">
        <v>1</v>
      </c>
      <c r="E22" s="3" t="s">
        <v>94</v>
      </c>
    </row>
    <row r="23" spans="1:5" x14ac:dyDescent="0.3">
      <c r="A23" s="7" t="s">
        <v>80</v>
      </c>
      <c r="B23" s="7">
        <v>632</v>
      </c>
      <c r="C23" s="2" t="s">
        <v>339</v>
      </c>
      <c r="D23" s="5">
        <v>500</v>
      </c>
      <c r="E23" s="3" t="s">
        <v>95</v>
      </c>
    </row>
    <row r="24" spans="1:5" x14ac:dyDescent="0.3">
      <c r="A24" s="7"/>
      <c r="B24" s="7"/>
      <c r="C24" s="2" t="s">
        <v>340</v>
      </c>
      <c r="D24" s="5">
        <v>100</v>
      </c>
      <c r="E24" s="3" t="s">
        <v>95</v>
      </c>
    </row>
    <row r="25" spans="1:5" x14ac:dyDescent="0.3">
      <c r="A25" s="7"/>
      <c r="B25" s="7"/>
      <c r="C25" s="2" t="s">
        <v>341</v>
      </c>
      <c r="D25" s="5">
        <v>50</v>
      </c>
      <c r="E25" s="3" t="s">
        <v>95</v>
      </c>
    </row>
    <row r="26" spans="1:5" x14ac:dyDescent="0.3">
      <c r="A26" s="7"/>
      <c r="B26" s="7"/>
      <c r="C26" s="2" t="s">
        <v>156</v>
      </c>
      <c r="D26" s="5">
        <v>150</v>
      </c>
      <c r="E26" s="3" t="s">
        <v>99</v>
      </c>
    </row>
    <row r="27" spans="1:5" x14ac:dyDescent="0.3">
      <c r="A27" s="7"/>
      <c r="B27" s="7"/>
      <c r="C27" s="2" t="s">
        <v>329</v>
      </c>
      <c r="D27" s="5">
        <v>1</v>
      </c>
      <c r="E27" s="3" t="s">
        <v>94</v>
      </c>
    </row>
    <row r="28" spans="1:5" x14ac:dyDescent="0.3">
      <c r="A28" s="7" t="s">
        <v>81</v>
      </c>
      <c r="B28" s="7">
        <v>633</v>
      </c>
      <c r="C28" s="2" t="s">
        <v>342</v>
      </c>
      <c r="D28" s="5">
        <v>4</v>
      </c>
      <c r="E28" s="3" t="s">
        <v>94</v>
      </c>
    </row>
    <row r="29" spans="1:5" x14ac:dyDescent="0.3">
      <c r="A29" s="7"/>
      <c r="B29" s="7"/>
      <c r="C29" s="2" t="s">
        <v>269</v>
      </c>
      <c r="D29" s="5">
        <v>400</v>
      </c>
      <c r="E29" s="3" t="s">
        <v>99</v>
      </c>
    </row>
    <row r="30" spans="1:5" x14ac:dyDescent="0.3">
      <c r="A30" s="7"/>
      <c r="B30" s="7"/>
      <c r="C30" s="2" t="s">
        <v>241</v>
      </c>
      <c r="D30" s="5">
        <v>2</v>
      </c>
      <c r="E30" s="3" t="s">
        <v>94</v>
      </c>
    </row>
    <row r="31" spans="1:5" x14ac:dyDescent="0.3">
      <c r="A31" s="7"/>
      <c r="B31" s="7"/>
      <c r="C31" s="2" t="s">
        <v>259</v>
      </c>
      <c r="D31" s="5">
        <v>2</v>
      </c>
      <c r="E31" s="3" t="s">
        <v>107</v>
      </c>
    </row>
    <row r="32" spans="1:5" x14ac:dyDescent="0.3">
      <c r="A32" s="7"/>
      <c r="B32" s="7"/>
      <c r="C32" s="2" t="s">
        <v>244</v>
      </c>
      <c r="D32" s="5">
        <v>1</v>
      </c>
      <c r="E32" s="3" t="s">
        <v>94</v>
      </c>
    </row>
    <row r="33" spans="1:5" x14ac:dyDescent="0.3">
      <c r="A33" s="7"/>
      <c r="B33" s="7"/>
      <c r="C33" s="2" t="s">
        <v>329</v>
      </c>
      <c r="D33" s="5">
        <v>1</v>
      </c>
      <c r="E33" s="3" t="s">
        <v>94</v>
      </c>
    </row>
    <row r="34" spans="1:5" x14ac:dyDescent="0.3">
      <c r="A34" s="7" t="s">
        <v>82</v>
      </c>
      <c r="B34" s="7">
        <v>634</v>
      </c>
      <c r="C34" s="2" t="s">
        <v>93</v>
      </c>
      <c r="D34" s="5">
        <v>400</v>
      </c>
      <c r="E34" s="3" t="s">
        <v>95</v>
      </c>
    </row>
    <row r="35" spans="1:5" x14ac:dyDescent="0.3">
      <c r="A35" s="7"/>
      <c r="B35" s="7"/>
      <c r="C35" s="2" t="s">
        <v>116</v>
      </c>
      <c r="D35" s="5">
        <v>5</v>
      </c>
      <c r="E35" s="3" t="s">
        <v>95</v>
      </c>
    </row>
    <row r="36" spans="1:5" x14ac:dyDescent="0.3">
      <c r="A36" s="7"/>
      <c r="B36" s="7"/>
      <c r="C36" s="2" t="s">
        <v>323</v>
      </c>
      <c r="D36" s="5">
        <v>8</v>
      </c>
      <c r="E36" s="3" t="s">
        <v>95</v>
      </c>
    </row>
    <row r="37" spans="1:5" x14ac:dyDescent="0.3">
      <c r="A37" s="7"/>
      <c r="B37" s="7"/>
      <c r="C37" s="2" t="s">
        <v>259</v>
      </c>
      <c r="D37" s="5">
        <v>100</v>
      </c>
      <c r="E37" s="3" t="s">
        <v>95</v>
      </c>
    </row>
    <row r="38" spans="1:5" x14ac:dyDescent="0.3">
      <c r="A38" s="7"/>
      <c r="B38" s="7"/>
      <c r="C38" s="2" t="s">
        <v>154</v>
      </c>
      <c r="D38" s="5">
        <v>180</v>
      </c>
      <c r="E38" s="3" t="s">
        <v>95</v>
      </c>
    </row>
    <row r="39" spans="1:5" x14ac:dyDescent="0.3">
      <c r="A39" s="7"/>
      <c r="B39" s="7"/>
      <c r="C39" s="2" t="s">
        <v>153</v>
      </c>
      <c r="D39" s="5">
        <v>1</v>
      </c>
      <c r="E39" s="3" t="s">
        <v>94</v>
      </c>
    </row>
    <row r="40" spans="1:5" x14ac:dyDescent="0.3">
      <c r="A40" s="7"/>
      <c r="B40" s="7"/>
      <c r="C40" s="2" t="s">
        <v>343</v>
      </c>
      <c r="D40" s="5">
        <v>500</v>
      </c>
      <c r="E40" s="3" t="s">
        <v>95</v>
      </c>
    </row>
    <row r="41" spans="1:5" x14ac:dyDescent="0.3">
      <c r="A41" s="7"/>
      <c r="B41" s="7"/>
      <c r="C41" s="2" t="s">
        <v>266</v>
      </c>
      <c r="D41" s="5">
        <v>30</v>
      </c>
      <c r="E41" s="3" t="s">
        <v>95</v>
      </c>
    </row>
    <row r="42" spans="1:5" x14ac:dyDescent="0.3">
      <c r="A42" s="7"/>
      <c r="B42" s="7"/>
      <c r="C42" s="2" t="s">
        <v>259</v>
      </c>
      <c r="D42" s="5">
        <v>100</v>
      </c>
      <c r="E42" s="3" t="s">
        <v>95</v>
      </c>
    </row>
    <row r="43" spans="1:5" x14ac:dyDescent="0.3">
      <c r="A43" s="7"/>
      <c r="B43" s="7"/>
      <c r="C43" s="2" t="s">
        <v>244</v>
      </c>
      <c r="D43" s="5">
        <v>0.5</v>
      </c>
      <c r="E43" s="3" t="s">
        <v>107</v>
      </c>
    </row>
    <row r="44" spans="1:5" x14ac:dyDescent="0.3">
      <c r="A44" s="7"/>
      <c r="B44" s="7"/>
      <c r="C44" s="2" t="s">
        <v>256</v>
      </c>
      <c r="D44" s="5">
        <v>1</v>
      </c>
      <c r="E44" s="3" t="s">
        <v>107</v>
      </c>
    </row>
    <row r="45" spans="1:5" x14ac:dyDescent="0.3">
      <c r="A45" s="7"/>
      <c r="B45" s="7"/>
      <c r="C45" s="2" t="s">
        <v>93</v>
      </c>
      <c r="D45" s="5">
        <v>30</v>
      </c>
      <c r="E45" s="3" t="s">
        <v>95</v>
      </c>
    </row>
    <row r="46" spans="1:5" x14ac:dyDescent="0.3">
      <c r="A46" s="7"/>
      <c r="B46" s="7"/>
      <c r="C46" s="2" t="s">
        <v>248</v>
      </c>
      <c r="D46" s="5">
        <v>1</v>
      </c>
      <c r="E46" s="3" t="s">
        <v>94</v>
      </c>
    </row>
    <row r="47" spans="1:5" x14ac:dyDescent="0.3">
      <c r="A47" s="7"/>
      <c r="B47" s="7"/>
      <c r="C47" s="2" t="s">
        <v>341</v>
      </c>
      <c r="D47" s="5">
        <v>20</v>
      </c>
      <c r="E47" s="3" t="s">
        <v>95</v>
      </c>
    </row>
    <row r="48" spans="1:5" x14ac:dyDescent="0.3">
      <c r="A48" s="7"/>
      <c r="B48" s="7"/>
      <c r="C48" s="2" t="s">
        <v>329</v>
      </c>
      <c r="D48" s="5">
        <v>1</v>
      </c>
      <c r="E48" s="3" t="s">
        <v>94</v>
      </c>
    </row>
    <row r="49" spans="1:5" x14ac:dyDescent="0.3">
      <c r="A49" s="7" t="s">
        <v>83</v>
      </c>
      <c r="B49" s="7">
        <v>636</v>
      </c>
      <c r="C49" s="2" t="s">
        <v>93</v>
      </c>
      <c r="D49" s="5">
        <v>450</v>
      </c>
      <c r="E49" s="3" t="s">
        <v>95</v>
      </c>
    </row>
    <row r="50" spans="1:5" x14ac:dyDescent="0.3">
      <c r="A50" s="7"/>
      <c r="B50" s="7"/>
      <c r="C50" s="2" t="s">
        <v>259</v>
      </c>
      <c r="D50" s="5">
        <v>100</v>
      </c>
      <c r="E50" s="3" t="s">
        <v>95</v>
      </c>
    </row>
    <row r="51" spans="1:5" x14ac:dyDescent="0.3">
      <c r="A51" s="7"/>
      <c r="B51" s="7"/>
      <c r="C51" s="2" t="s">
        <v>323</v>
      </c>
      <c r="D51" s="5">
        <v>8</v>
      </c>
      <c r="E51" s="3" t="s">
        <v>95</v>
      </c>
    </row>
    <row r="52" spans="1:5" x14ac:dyDescent="0.3">
      <c r="A52" s="7"/>
      <c r="B52" s="7"/>
      <c r="C52" s="2" t="s">
        <v>116</v>
      </c>
      <c r="D52" s="5">
        <v>2</v>
      </c>
      <c r="E52" s="3" t="s">
        <v>95</v>
      </c>
    </row>
    <row r="53" spans="1:5" x14ac:dyDescent="0.3">
      <c r="A53" s="7"/>
      <c r="B53" s="7"/>
      <c r="C53" s="2" t="s">
        <v>154</v>
      </c>
      <c r="D53" s="5">
        <v>180</v>
      </c>
      <c r="E53" s="3" t="s">
        <v>95</v>
      </c>
    </row>
    <row r="54" spans="1:5" x14ac:dyDescent="0.3">
      <c r="A54" s="7"/>
      <c r="B54" s="7"/>
      <c r="C54" s="2" t="s">
        <v>153</v>
      </c>
      <c r="D54" s="5">
        <v>2</v>
      </c>
      <c r="E54" s="3" t="s">
        <v>94</v>
      </c>
    </row>
    <row r="55" spans="1:5" x14ac:dyDescent="0.3">
      <c r="A55" s="7"/>
      <c r="B55" s="7"/>
      <c r="C55" s="2" t="s">
        <v>344</v>
      </c>
      <c r="D55" s="5">
        <v>1000</v>
      </c>
      <c r="E55" s="3" t="s">
        <v>95</v>
      </c>
    </row>
    <row r="56" spans="1:5" x14ac:dyDescent="0.3">
      <c r="A56" s="7"/>
      <c r="B56" s="7"/>
      <c r="C56" s="2" t="s">
        <v>259</v>
      </c>
      <c r="D56" s="5">
        <v>200</v>
      </c>
      <c r="E56" s="3" t="s">
        <v>95</v>
      </c>
    </row>
    <row r="57" spans="1:5" x14ac:dyDescent="0.3">
      <c r="A57" s="7"/>
      <c r="B57" s="7"/>
      <c r="C57" s="2" t="s">
        <v>345</v>
      </c>
      <c r="D57" s="5">
        <v>10</v>
      </c>
      <c r="E57" s="3" t="s">
        <v>99</v>
      </c>
    </row>
    <row r="58" spans="1:5" x14ac:dyDescent="0.3">
      <c r="A58" s="7"/>
      <c r="B58" s="7"/>
      <c r="C58" s="2" t="s">
        <v>346</v>
      </c>
      <c r="D58" s="5">
        <v>1</v>
      </c>
      <c r="E58" s="3" t="s">
        <v>94</v>
      </c>
    </row>
    <row r="59" spans="1:5" x14ac:dyDescent="0.3">
      <c r="A59" s="7"/>
      <c r="B59" s="7"/>
      <c r="C59" s="2" t="s">
        <v>266</v>
      </c>
      <c r="D59" s="5">
        <v>30</v>
      </c>
      <c r="E59" s="3" t="s">
        <v>95</v>
      </c>
    </row>
    <row r="60" spans="1:5" x14ac:dyDescent="0.3">
      <c r="A60" s="7" t="s">
        <v>84</v>
      </c>
      <c r="B60" s="7">
        <v>638</v>
      </c>
      <c r="C60" s="2" t="s">
        <v>326</v>
      </c>
      <c r="D60" s="5">
        <v>44</v>
      </c>
      <c r="E60" s="3" t="s">
        <v>95</v>
      </c>
    </row>
    <row r="61" spans="1:5" x14ac:dyDescent="0.3">
      <c r="A61" s="7"/>
      <c r="B61" s="7"/>
      <c r="C61" s="2" t="s">
        <v>98</v>
      </c>
      <c r="D61" s="5">
        <v>190</v>
      </c>
      <c r="E61" s="3" t="s">
        <v>99</v>
      </c>
    </row>
    <row r="62" spans="1:5" x14ac:dyDescent="0.3">
      <c r="A62" s="7"/>
      <c r="B62" s="7"/>
      <c r="C62" s="2" t="s">
        <v>345</v>
      </c>
      <c r="D62" s="5">
        <v>1</v>
      </c>
      <c r="E62" s="3" t="s">
        <v>107</v>
      </c>
    </row>
    <row r="63" spans="1:5" x14ac:dyDescent="0.3">
      <c r="A63" s="7"/>
      <c r="B63" s="7"/>
      <c r="C63" s="2" t="s">
        <v>154</v>
      </c>
      <c r="D63" s="5">
        <v>110</v>
      </c>
      <c r="E63" s="3" t="s">
        <v>95</v>
      </c>
    </row>
    <row r="64" spans="1:5" x14ac:dyDescent="0.3">
      <c r="A64" s="7"/>
      <c r="B64" s="7"/>
      <c r="C64" s="2" t="s">
        <v>259</v>
      </c>
      <c r="D64" s="5">
        <v>234</v>
      </c>
      <c r="E64" s="3" t="s">
        <v>95</v>
      </c>
    </row>
    <row r="65" spans="1:5" x14ac:dyDescent="0.3">
      <c r="A65" s="7"/>
      <c r="B65" s="7"/>
      <c r="C65" s="2" t="s">
        <v>153</v>
      </c>
      <c r="D65" s="5">
        <v>2</v>
      </c>
      <c r="E65" s="3" t="s">
        <v>94</v>
      </c>
    </row>
    <row r="66" spans="1:5" x14ac:dyDescent="0.3">
      <c r="A66" s="7"/>
      <c r="B66" s="7"/>
      <c r="C66" s="2" t="s">
        <v>93</v>
      </c>
      <c r="D66" s="5">
        <v>150</v>
      </c>
      <c r="E66" s="3" t="s">
        <v>95</v>
      </c>
    </row>
    <row r="67" spans="1:5" x14ac:dyDescent="0.3">
      <c r="A67" s="7"/>
      <c r="B67" s="7"/>
      <c r="C67" s="2" t="s">
        <v>347</v>
      </c>
      <c r="D67" s="5">
        <v>8</v>
      </c>
      <c r="E67" s="3" t="s">
        <v>95</v>
      </c>
    </row>
    <row r="68" spans="1:5" x14ac:dyDescent="0.3">
      <c r="A68" s="7"/>
      <c r="B68" s="7"/>
      <c r="C68" s="2" t="s">
        <v>323</v>
      </c>
      <c r="D68" s="5">
        <v>16</v>
      </c>
      <c r="E68" s="3" t="s">
        <v>95</v>
      </c>
    </row>
    <row r="69" spans="1:5" x14ac:dyDescent="0.3">
      <c r="A69" s="7"/>
      <c r="B69" s="7"/>
      <c r="C69" s="2" t="s">
        <v>116</v>
      </c>
      <c r="D69" s="5">
        <v>1</v>
      </c>
      <c r="E69" s="3" t="s">
        <v>107</v>
      </c>
    </row>
    <row r="70" spans="1:5" x14ac:dyDescent="0.3">
      <c r="A70" s="7"/>
      <c r="B70" s="7"/>
      <c r="C70" s="2" t="s">
        <v>234</v>
      </c>
      <c r="D70" s="5">
        <v>125</v>
      </c>
      <c r="E70" s="3" t="s">
        <v>99</v>
      </c>
    </row>
    <row r="71" spans="1:5" x14ac:dyDescent="0.3">
      <c r="A71" s="7"/>
      <c r="B71" s="7"/>
      <c r="C71" s="2" t="s">
        <v>345</v>
      </c>
      <c r="D71" s="5">
        <v>1</v>
      </c>
      <c r="E71" s="3" t="s">
        <v>107</v>
      </c>
    </row>
    <row r="72" spans="1:5" x14ac:dyDescent="0.3">
      <c r="A72" s="7"/>
      <c r="B72" s="7"/>
      <c r="C72" s="2" t="s">
        <v>326</v>
      </c>
      <c r="D72" s="5">
        <v>55</v>
      </c>
      <c r="E72" s="3" t="s">
        <v>95</v>
      </c>
    </row>
    <row r="73" spans="1:5" x14ac:dyDescent="0.3">
      <c r="A73" s="7"/>
      <c r="B73" s="7"/>
      <c r="C73" s="2" t="s">
        <v>341</v>
      </c>
      <c r="D73" s="5">
        <v>265</v>
      </c>
      <c r="E73" s="3" t="s">
        <v>95</v>
      </c>
    </row>
    <row r="74" spans="1:5" x14ac:dyDescent="0.3">
      <c r="A74" s="7"/>
      <c r="B74" s="7"/>
      <c r="C74" s="2" t="s">
        <v>154</v>
      </c>
      <c r="D74" s="5">
        <v>95</v>
      </c>
      <c r="E74" s="3" t="s">
        <v>95</v>
      </c>
    </row>
    <row r="75" spans="1:5" x14ac:dyDescent="0.3">
      <c r="A75" s="7" t="s">
        <v>85</v>
      </c>
      <c r="B75" s="7">
        <v>643</v>
      </c>
      <c r="C75" s="2" t="s">
        <v>348</v>
      </c>
      <c r="D75" s="5">
        <v>600</v>
      </c>
      <c r="E75" s="3" t="s">
        <v>99</v>
      </c>
    </row>
    <row r="76" spans="1:5" x14ac:dyDescent="0.3">
      <c r="A76" s="7"/>
      <c r="B76" s="7"/>
      <c r="C76" s="2" t="s">
        <v>349</v>
      </c>
      <c r="D76" s="5">
        <v>12</v>
      </c>
      <c r="E76" s="3" t="s">
        <v>94</v>
      </c>
    </row>
    <row r="77" spans="1:5" x14ac:dyDescent="0.3">
      <c r="A77" s="7"/>
      <c r="B77" s="7"/>
      <c r="C77" s="2" t="s">
        <v>339</v>
      </c>
      <c r="D77" s="5">
        <v>18</v>
      </c>
      <c r="E77" s="3" t="s">
        <v>94</v>
      </c>
    </row>
    <row r="78" spans="1:5" x14ac:dyDescent="0.3">
      <c r="A78" s="7"/>
      <c r="B78" s="7"/>
      <c r="C78" s="2" t="s">
        <v>259</v>
      </c>
      <c r="D78" s="5">
        <v>1</v>
      </c>
      <c r="E78" s="3" t="s">
        <v>107</v>
      </c>
    </row>
    <row r="79" spans="1:5" x14ac:dyDescent="0.3">
      <c r="A79" s="7"/>
      <c r="B79" s="7"/>
      <c r="C79" s="2" t="s">
        <v>329</v>
      </c>
      <c r="D79" s="5">
        <v>1</v>
      </c>
      <c r="E79" s="3" t="s">
        <v>94</v>
      </c>
    </row>
    <row r="80" spans="1:5" x14ac:dyDescent="0.3">
      <c r="A80" s="7" t="s">
        <v>86</v>
      </c>
      <c r="B80" s="7">
        <v>652</v>
      </c>
      <c r="C80" s="2" t="s">
        <v>117</v>
      </c>
      <c r="D80" s="5">
        <v>4</v>
      </c>
      <c r="E80" s="3" t="s">
        <v>94</v>
      </c>
    </row>
    <row r="81" spans="1:5" x14ac:dyDescent="0.3">
      <c r="A81" s="7"/>
      <c r="B81" s="7"/>
      <c r="C81" s="2" t="s">
        <v>98</v>
      </c>
      <c r="D81" s="5">
        <v>250</v>
      </c>
      <c r="E81" s="3" t="s">
        <v>99</v>
      </c>
    </row>
    <row r="82" spans="1:5" x14ac:dyDescent="0.3">
      <c r="A82" s="7"/>
      <c r="B82" s="7"/>
      <c r="C82" s="2" t="s">
        <v>259</v>
      </c>
      <c r="D82" s="5">
        <v>50</v>
      </c>
      <c r="E82" s="3" t="s">
        <v>95</v>
      </c>
    </row>
    <row r="83" spans="1:5" x14ac:dyDescent="0.3">
      <c r="A83" s="7"/>
      <c r="B83" s="7"/>
      <c r="C83" s="2" t="s">
        <v>266</v>
      </c>
      <c r="D83" s="5">
        <v>20</v>
      </c>
      <c r="E83" s="3" t="s">
        <v>95</v>
      </c>
    </row>
    <row r="84" spans="1:5" x14ac:dyDescent="0.3">
      <c r="A84" s="7"/>
      <c r="B84" s="7"/>
      <c r="C84" s="2" t="s">
        <v>153</v>
      </c>
      <c r="D84" s="5">
        <v>1</v>
      </c>
      <c r="E84" s="3" t="s">
        <v>94</v>
      </c>
    </row>
    <row r="85" spans="1:5" x14ac:dyDescent="0.3">
      <c r="A85" s="7"/>
      <c r="B85" s="7"/>
      <c r="C85" s="2" t="s">
        <v>248</v>
      </c>
      <c r="D85" s="5">
        <v>1</v>
      </c>
      <c r="E85" s="3" t="s">
        <v>94</v>
      </c>
    </row>
    <row r="86" spans="1:5" x14ac:dyDescent="0.3">
      <c r="A86" s="7"/>
      <c r="B86" s="7"/>
      <c r="C86" s="2" t="s">
        <v>354</v>
      </c>
      <c r="D86" s="5">
        <v>1</v>
      </c>
      <c r="E86" s="3" t="s">
        <v>94</v>
      </c>
    </row>
    <row r="87" spans="1:5" x14ac:dyDescent="0.3">
      <c r="A87" s="7"/>
      <c r="B87" s="7"/>
      <c r="C87" s="2" t="s">
        <v>350</v>
      </c>
      <c r="D87" s="5">
        <v>1</v>
      </c>
      <c r="E87" s="3" t="s">
        <v>94</v>
      </c>
    </row>
    <row r="88" spans="1:5" x14ac:dyDescent="0.3">
      <c r="A88" s="7"/>
      <c r="B88" s="7"/>
      <c r="C88" s="2" t="s">
        <v>351</v>
      </c>
      <c r="D88" s="5">
        <v>3</v>
      </c>
      <c r="E88" s="3" t="s">
        <v>107</v>
      </c>
    </row>
    <row r="89" spans="1:5" x14ac:dyDescent="0.3">
      <c r="A89" s="7"/>
      <c r="B89" s="7"/>
      <c r="C89" s="2" t="s">
        <v>93</v>
      </c>
      <c r="D89" s="5">
        <v>275</v>
      </c>
      <c r="E89" s="3" t="s">
        <v>95</v>
      </c>
    </row>
    <row r="90" spans="1:5" x14ac:dyDescent="0.3">
      <c r="A90" s="7"/>
      <c r="B90" s="7"/>
      <c r="C90" s="2" t="s">
        <v>154</v>
      </c>
      <c r="D90" s="5">
        <v>125</v>
      </c>
      <c r="E90" s="3" t="s">
        <v>95</v>
      </c>
    </row>
    <row r="91" spans="1:5" x14ac:dyDescent="0.3">
      <c r="A91" s="7"/>
      <c r="B91" s="7"/>
      <c r="C91" s="2" t="s">
        <v>352</v>
      </c>
      <c r="D91" s="5">
        <v>60</v>
      </c>
      <c r="E91" s="3" t="s">
        <v>99</v>
      </c>
    </row>
    <row r="92" spans="1:5" x14ac:dyDescent="0.3">
      <c r="A92" s="7"/>
      <c r="B92" s="7"/>
      <c r="C92" s="2" t="s">
        <v>116</v>
      </c>
      <c r="D92" s="5">
        <v>1</v>
      </c>
      <c r="E92" s="3" t="s">
        <v>107</v>
      </c>
    </row>
    <row r="93" spans="1:5" x14ac:dyDescent="0.3">
      <c r="A93" s="7" t="s">
        <v>87</v>
      </c>
      <c r="B93" s="7">
        <v>664</v>
      </c>
      <c r="C93" s="2" t="s">
        <v>183</v>
      </c>
      <c r="D93" s="5">
        <v>2</v>
      </c>
      <c r="E93" s="3" t="s">
        <v>94</v>
      </c>
    </row>
    <row r="94" spans="1:5" x14ac:dyDescent="0.3">
      <c r="A94" s="7"/>
      <c r="B94" s="7"/>
      <c r="C94" s="2" t="s">
        <v>98</v>
      </c>
      <c r="D94" s="5">
        <v>500</v>
      </c>
      <c r="E94" s="3" t="s">
        <v>99</v>
      </c>
    </row>
    <row r="95" spans="1:5" x14ac:dyDescent="0.3">
      <c r="A95" s="7"/>
      <c r="B95" s="7"/>
      <c r="C95" s="2" t="s">
        <v>325</v>
      </c>
      <c r="D95" s="5">
        <v>2</v>
      </c>
      <c r="E95" s="3" t="s">
        <v>107</v>
      </c>
    </row>
    <row r="96" spans="1:5" x14ac:dyDescent="0.3">
      <c r="A96" s="7"/>
      <c r="B96" s="7"/>
      <c r="C96" s="2" t="s">
        <v>244</v>
      </c>
      <c r="D96" s="5">
        <v>1</v>
      </c>
      <c r="E96" s="3" t="s">
        <v>94</v>
      </c>
    </row>
    <row r="97" spans="1:5" x14ac:dyDescent="0.3">
      <c r="A97" s="7"/>
      <c r="B97" s="7"/>
      <c r="C97" s="2" t="s">
        <v>353</v>
      </c>
      <c r="D97" s="5">
        <v>3</v>
      </c>
      <c r="E97" s="3" t="s">
        <v>94</v>
      </c>
    </row>
    <row r="98" spans="1:5" x14ac:dyDescent="0.3">
      <c r="A98" s="7"/>
      <c r="B98" s="7"/>
      <c r="C98" s="2" t="s">
        <v>354</v>
      </c>
      <c r="D98" s="5">
        <v>3</v>
      </c>
      <c r="E98" s="3" t="s">
        <v>94</v>
      </c>
    </row>
    <row r="99" spans="1:5" x14ac:dyDescent="0.3">
      <c r="A99" s="7"/>
      <c r="B99" s="7"/>
      <c r="C99" s="2" t="s">
        <v>259</v>
      </c>
      <c r="D99" s="5">
        <v>4</v>
      </c>
      <c r="E99" s="3" t="s">
        <v>107</v>
      </c>
    </row>
    <row r="100" spans="1:5" x14ac:dyDescent="0.3">
      <c r="A100" s="7"/>
      <c r="B100" s="7"/>
      <c r="C100" s="2" t="s">
        <v>355</v>
      </c>
      <c r="D100" s="5">
        <v>1</v>
      </c>
      <c r="E100" s="3" t="s">
        <v>94</v>
      </c>
    </row>
    <row r="101" spans="1:5" x14ac:dyDescent="0.3">
      <c r="A101" s="7" t="s">
        <v>88</v>
      </c>
      <c r="B101" s="7">
        <v>673</v>
      </c>
      <c r="C101" s="2" t="s">
        <v>356</v>
      </c>
      <c r="D101" s="5">
        <v>300</v>
      </c>
      <c r="E101" s="3" t="s">
        <v>95</v>
      </c>
    </row>
    <row r="102" spans="1:5" x14ac:dyDescent="0.3">
      <c r="A102" s="7"/>
      <c r="B102" s="7"/>
      <c r="C102" s="2" t="s">
        <v>153</v>
      </c>
      <c r="D102" s="5">
        <v>2</v>
      </c>
      <c r="E102" s="3" t="s">
        <v>94</v>
      </c>
    </row>
    <row r="103" spans="1:5" x14ac:dyDescent="0.3">
      <c r="A103" s="7"/>
      <c r="B103" s="7"/>
      <c r="C103" s="2" t="s">
        <v>259</v>
      </c>
      <c r="D103" s="5">
        <v>100</v>
      </c>
      <c r="E103" s="3" t="s">
        <v>95</v>
      </c>
    </row>
    <row r="104" spans="1:5" x14ac:dyDescent="0.3">
      <c r="A104" s="7"/>
      <c r="B104" s="7"/>
      <c r="C104" s="2" t="s">
        <v>93</v>
      </c>
      <c r="D104" s="5">
        <v>10</v>
      </c>
      <c r="E104" s="3" t="s">
        <v>95</v>
      </c>
    </row>
    <row r="105" spans="1:5" x14ac:dyDescent="0.3">
      <c r="A105" s="7"/>
      <c r="B105" s="7"/>
      <c r="C105" s="2" t="s">
        <v>234</v>
      </c>
      <c r="D105" s="5">
        <v>125</v>
      </c>
      <c r="E105" s="3" t="s">
        <v>99</v>
      </c>
    </row>
    <row r="106" spans="1:5" x14ac:dyDescent="0.3">
      <c r="A106" s="7"/>
      <c r="B106" s="7"/>
      <c r="C106" s="2" t="s">
        <v>351</v>
      </c>
      <c r="D106" s="5">
        <v>4</v>
      </c>
      <c r="E106" s="3" t="s">
        <v>107</v>
      </c>
    </row>
    <row r="107" spans="1:5" x14ac:dyDescent="0.3">
      <c r="A107" s="7" t="s">
        <v>89</v>
      </c>
      <c r="B107" s="7">
        <v>676</v>
      </c>
      <c r="C107" s="2" t="s">
        <v>153</v>
      </c>
      <c r="D107" s="5">
        <v>6</v>
      </c>
      <c r="E107" s="3" t="s">
        <v>94</v>
      </c>
    </row>
    <row r="108" spans="1:5" x14ac:dyDescent="0.3">
      <c r="A108" s="7"/>
      <c r="B108" s="7"/>
      <c r="C108" s="2" t="s">
        <v>337</v>
      </c>
      <c r="D108" s="5">
        <v>150</v>
      </c>
      <c r="E108" s="3" t="s">
        <v>95</v>
      </c>
    </row>
    <row r="109" spans="1:5" x14ac:dyDescent="0.3">
      <c r="A109" s="7"/>
      <c r="B109" s="7"/>
      <c r="C109" s="2" t="s">
        <v>326</v>
      </c>
      <c r="D109" s="5">
        <v>12</v>
      </c>
      <c r="E109" s="3" t="s">
        <v>95</v>
      </c>
    </row>
    <row r="110" spans="1:5" x14ac:dyDescent="0.3">
      <c r="A110" s="7"/>
      <c r="B110" s="7"/>
      <c r="C110" s="2" t="s">
        <v>259</v>
      </c>
      <c r="D110" s="5">
        <v>150</v>
      </c>
      <c r="E110" s="3" t="s">
        <v>95</v>
      </c>
    </row>
    <row r="111" spans="1:5" x14ac:dyDescent="0.3">
      <c r="A111" s="7"/>
      <c r="B111" s="7"/>
      <c r="C111" s="2" t="s">
        <v>339</v>
      </c>
      <c r="D111" s="5">
        <v>8</v>
      </c>
      <c r="E111" s="3" t="s">
        <v>94</v>
      </c>
    </row>
    <row r="112" spans="1:5" x14ac:dyDescent="0.3">
      <c r="A112" s="7"/>
      <c r="B112" s="7"/>
      <c r="C112" s="2" t="s">
        <v>357</v>
      </c>
      <c r="D112" s="5">
        <v>1</v>
      </c>
      <c r="E112" s="3" t="s">
        <v>94</v>
      </c>
    </row>
    <row r="113" spans="1:5" x14ac:dyDescent="0.3">
      <c r="A113" s="7"/>
      <c r="B113" s="7"/>
      <c r="C113" s="2" t="s">
        <v>122</v>
      </c>
      <c r="D113" s="5">
        <v>1</v>
      </c>
      <c r="E113" s="3" t="s">
        <v>94</v>
      </c>
    </row>
    <row r="114" spans="1:5" x14ac:dyDescent="0.3">
      <c r="A114" s="7"/>
      <c r="B114" s="7"/>
      <c r="C114" s="2" t="s">
        <v>358</v>
      </c>
      <c r="D114" s="5">
        <v>100</v>
      </c>
      <c r="E114" s="3" t="s">
        <v>99</v>
      </c>
    </row>
    <row r="115" spans="1:5" x14ac:dyDescent="0.3">
      <c r="A115" s="7"/>
      <c r="B115" s="7"/>
      <c r="C115" s="2" t="s">
        <v>341</v>
      </c>
      <c r="D115" s="5">
        <v>20</v>
      </c>
      <c r="E115" s="3" t="s">
        <v>95</v>
      </c>
    </row>
    <row r="116" spans="1:5" x14ac:dyDescent="0.3">
      <c r="A116" s="7"/>
      <c r="B116" s="7"/>
      <c r="C116" s="2" t="s">
        <v>345</v>
      </c>
      <c r="D116" s="5">
        <v>1</v>
      </c>
      <c r="E116" s="3" t="s">
        <v>107</v>
      </c>
    </row>
    <row r="117" spans="1:5" x14ac:dyDescent="0.3">
      <c r="A117" s="7" t="s">
        <v>90</v>
      </c>
      <c r="B117" s="7">
        <v>678</v>
      </c>
      <c r="C117" s="2" t="s">
        <v>359</v>
      </c>
      <c r="D117" s="5">
        <v>16</v>
      </c>
      <c r="E117" s="3" t="s">
        <v>94</v>
      </c>
    </row>
    <row r="118" spans="1:5" x14ac:dyDescent="0.3">
      <c r="A118" s="7"/>
      <c r="B118" s="7"/>
      <c r="C118" s="2" t="s">
        <v>360</v>
      </c>
      <c r="D118" s="5">
        <v>1000</v>
      </c>
      <c r="E118" s="3" t="s">
        <v>99</v>
      </c>
    </row>
    <row r="119" spans="1:5" x14ac:dyDescent="0.3">
      <c r="A119" s="7"/>
      <c r="B119" s="7"/>
      <c r="C119" s="2" t="s">
        <v>337</v>
      </c>
      <c r="D119" s="5">
        <v>250</v>
      </c>
      <c r="E119" s="3" t="s">
        <v>95</v>
      </c>
    </row>
    <row r="120" spans="1:5" x14ac:dyDescent="0.3">
      <c r="A120" s="7"/>
      <c r="B120" s="7"/>
      <c r="C120" s="2" t="s">
        <v>361</v>
      </c>
      <c r="D120" s="5">
        <v>200</v>
      </c>
      <c r="E120" s="3" t="s">
        <v>95</v>
      </c>
    </row>
  </sheetData>
  <mergeCells count="28">
    <mergeCell ref="B107:B116"/>
    <mergeCell ref="A107:A116"/>
    <mergeCell ref="B117:B120"/>
    <mergeCell ref="A117:A120"/>
    <mergeCell ref="B80:B92"/>
    <mergeCell ref="A80:A92"/>
    <mergeCell ref="B93:B100"/>
    <mergeCell ref="A93:A100"/>
    <mergeCell ref="B101:B106"/>
    <mergeCell ref="A101:A106"/>
    <mergeCell ref="B49:B59"/>
    <mergeCell ref="A49:A59"/>
    <mergeCell ref="B60:B74"/>
    <mergeCell ref="A60:A74"/>
    <mergeCell ref="B75:B79"/>
    <mergeCell ref="A75:A79"/>
    <mergeCell ref="B23:B27"/>
    <mergeCell ref="A23:A27"/>
    <mergeCell ref="B28:B33"/>
    <mergeCell ref="A28:A33"/>
    <mergeCell ref="B34:B48"/>
    <mergeCell ref="A34:A48"/>
    <mergeCell ref="B2:B9"/>
    <mergeCell ref="A2:A9"/>
    <mergeCell ref="B10:B17"/>
    <mergeCell ref="A10:A17"/>
    <mergeCell ref="B18:B22"/>
    <mergeCell ref="A18:A22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D736E3-E3E3-4517-ABB8-CA5874ED6989}">
          <x14:formula1>
            <xm:f>Otros!$B$3:$B$6</xm:f>
          </x14:formula1>
          <xm:sqref>E2:E120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B1D0-6987-4E0C-9AC6-B0057F8D94C1}">
  <dimension ref="A1:E72"/>
  <sheetViews>
    <sheetView workbookViewId="0">
      <pane ySplit="1" topLeftCell="A2" activePane="bottomLeft" state="frozen"/>
      <selection activeCell="B2" sqref="B2:B28"/>
      <selection pane="bottomLeft" activeCell="E16" sqref="E16"/>
    </sheetView>
  </sheetViews>
  <sheetFormatPr baseColWidth="10" defaultRowHeight="14.4" x14ac:dyDescent="0.3"/>
  <cols>
    <col min="1" max="1" width="35.6640625" style="10" bestFit="1" customWidth="1"/>
    <col min="2" max="2" width="10.33203125" style="10" customWidth="1"/>
    <col min="3" max="3" width="16.5546875" style="14" bestFit="1" customWidth="1"/>
    <col min="4" max="4" width="11.5546875" style="16"/>
    <col min="5" max="5" width="11.5546875" style="10"/>
    <col min="6" max="16384" width="11.5546875" style="12"/>
  </cols>
  <sheetData>
    <row r="1" spans="1:5" x14ac:dyDescent="0.3">
      <c r="A1" s="3" t="str">
        <f>Sopas!A1</f>
        <v>Plato</v>
      </c>
      <c r="B1" s="3" t="s">
        <v>225</v>
      </c>
      <c r="C1" s="3" t="str">
        <f>Sopas!C1</f>
        <v>Ingredientes</v>
      </c>
      <c r="D1" s="4" t="str">
        <f>Sopas!D1</f>
        <v>Cantidades</v>
      </c>
      <c r="E1" s="3" t="str">
        <f>Sopas!E1</f>
        <v>Unidades</v>
      </c>
    </row>
    <row r="2" spans="1:5" x14ac:dyDescent="0.3">
      <c r="A2" s="7" t="s">
        <v>2</v>
      </c>
      <c r="B2" s="7">
        <v>20</v>
      </c>
      <c r="C2" s="2" t="s">
        <v>362</v>
      </c>
      <c r="D2" s="5">
        <v>12</v>
      </c>
      <c r="E2" s="3" t="s">
        <v>94</v>
      </c>
    </row>
    <row r="3" spans="1:5" x14ac:dyDescent="0.3">
      <c r="A3" s="7"/>
      <c r="B3" s="7"/>
      <c r="C3" s="2" t="s">
        <v>363</v>
      </c>
      <c r="D3" s="5">
        <v>6</v>
      </c>
      <c r="E3" s="3" t="s">
        <v>94</v>
      </c>
    </row>
    <row r="4" spans="1:5" x14ac:dyDescent="0.3">
      <c r="A4" s="7"/>
      <c r="B4" s="7"/>
      <c r="C4" s="2" t="s">
        <v>122</v>
      </c>
      <c r="D4" s="5">
        <v>2</v>
      </c>
      <c r="E4" s="3" t="s">
        <v>107</v>
      </c>
    </row>
    <row r="5" spans="1:5" x14ac:dyDescent="0.3">
      <c r="A5" s="7"/>
      <c r="B5" s="7"/>
      <c r="C5" s="2" t="s">
        <v>276</v>
      </c>
      <c r="D5" s="5">
        <v>2</v>
      </c>
      <c r="E5" s="3" t="s">
        <v>94</v>
      </c>
    </row>
    <row r="6" spans="1:5" x14ac:dyDescent="0.3">
      <c r="A6" s="7"/>
      <c r="B6" s="7"/>
      <c r="C6" s="2" t="s">
        <v>116</v>
      </c>
      <c r="D6" s="5">
        <v>1</v>
      </c>
      <c r="E6" s="3" t="s">
        <v>94</v>
      </c>
    </row>
    <row r="7" spans="1:5" x14ac:dyDescent="0.3">
      <c r="A7" s="7"/>
      <c r="B7" s="7"/>
      <c r="C7" s="2" t="s">
        <v>114</v>
      </c>
      <c r="D7" s="5">
        <v>1</v>
      </c>
      <c r="E7" s="3" t="s">
        <v>94</v>
      </c>
    </row>
    <row r="8" spans="1:5" x14ac:dyDescent="0.3">
      <c r="A8" s="7"/>
      <c r="B8" s="7"/>
      <c r="C8" s="2" t="s">
        <v>93</v>
      </c>
      <c r="D8" s="5">
        <v>275</v>
      </c>
      <c r="E8" s="3" t="s">
        <v>95</v>
      </c>
    </row>
    <row r="9" spans="1:5" x14ac:dyDescent="0.3">
      <c r="A9" s="7"/>
      <c r="B9" s="7"/>
      <c r="C9" s="2" t="s">
        <v>98</v>
      </c>
      <c r="D9" s="5">
        <v>125</v>
      </c>
      <c r="E9" s="3" t="s">
        <v>99</v>
      </c>
    </row>
    <row r="10" spans="1:5" x14ac:dyDescent="0.3">
      <c r="A10" s="7"/>
      <c r="B10" s="7"/>
      <c r="C10" s="2" t="s">
        <v>248</v>
      </c>
      <c r="D10" s="5">
        <v>1</v>
      </c>
      <c r="E10" s="3" t="s">
        <v>94</v>
      </c>
    </row>
    <row r="11" spans="1:5" x14ac:dyDescent="0.3">
      <c r="A11" s="7"/>
      <c r="B11" s="7"/>
      <c r="C11" s="2" t="s">
        <v>364</v>
      </c>
      <c r="D11" s="5">
        <v>12</v>
      </c>
      <c r="E11" s="3" t="s">
        <v>95</v>
      </c>
    </row>
    <row r="12" spans="1:5" x14ac:dyDescent="0.3">
      <c r="A12" s="7"/>
      <c r="B12" s="7"/>
      <c r="C12" s="2" t="s">
        <v>116</v>
      </c>
      <c r="D12" s="5">
        <v>5</v>
      </c>
      <c r="E12" s="3" t="s">
        <v>95</v>
      </c>
    </row>
    <row r="13" spans="1:5" x14ac:dyDescent="0.3">
      <c r="A13" s="7"/>
      <c r="B13" s="7"/>
      <c r="C13" s="2" t="s">
        <v>323</v>
      </c>
      <c r="D13" s="5">
        <v>8</v>
      </c>
      <c r="E13" s="3" t="s">
        <v>95</v>
      </c>
    </row>
    <row r="14" spans="1:5" x14ac:dyDescent="0.3">
      <c r="A14" s="7"/>
      <c r="B14" s="7"/>
      <c r="C14" s="2" t="s">
        <v>154</v>
      </c>
      <c r="D14" s="5">
        <v>35</v>
      </c>
      <c r="E14" s="3" t="s">
        <v>95</v>
      </c>
    </row>
    <row r="15" spans="1:5" x14ac:dyDescent="0.3">
      <c r="A15" s="7"/>
      <c r="B15" s="7"/>
      <c r="C15" s="2" t="s">
        <v>122</v>
      </c>
      <c r="D15" s="5">
        <v>1</v>
      </c>
      <c r="E15" s="3" t="s">
        <v>94</v>
      </c>
    </row>
    <row r="16" spans="1:5" x14ac:dyDescent="0.3">
      <c r="A16" s="7" t="s">
        <v>3</v>
      </c>
      <c r="B16" s="7">
        <v>26</v>
      </c>
      <c r="C16" s="2" t="s">
        <v>93</v>
      </c>
      <c r="D16" s="5">
        <v>500</v>
      </c>
      <c r="E16" s="3" t="s">
        <v>95</v>
      </c>
    </row>
    <row r="17" spans="1:5" x14ac:dyDescent="0.3">
      <c r="A17" s="7"/>
      <c r="B17" s="7"/>
      <c r="C17" s="2" t="s">
        <v>352</v>
      </c>
      <c r="D17" s="5">
        <v>310</v>
      </c>
      <c r="E17" s="3" t="s">
        <v>99</v>
      </c>
    </row>
    <row r="18" spans="1:5" x14ac:dyDescent="0.3">
      <c r="A18" s="7"/>
      <c r="B18" s="7"/>
      <c r="C18" s="2" t="s">
        <v>116</v>
      </c>
      <c r="D18" s="5">
        <v>8</v>
      </c>
      <c r="E18" s="3" t="s">
        <v>95</v>
      </c>
    </row>
    <row r="19" spans="1:5" x14ac:dyDescent="0.3">
      <c r="A19" s="7"/>
      <c r="B19" s="7"/>
      <c r="C19" s="2" t="s">
        <v>323</v>
      </c>
      <c r="D19" s="5">
        <v>15</v>
      </c>
      <c r="E19" s="3" t="s">
        <v>95</v>
      </c>
    </row>
    <row r="20" spans="1:5" x14ac:dyDescent="0.3">
      <c r="A20" s="7"/>
      <c r="B20" s="7"/>
      <c r="C20" s="2" t="s">
        <v>365</v>
      </c>
      <c r="D20" s="5">
        <v>125</v>
      </c>
      <c r="E20" s="3" t="s">
        <v>95</v>
      </c>
    </row>
    <row r="21" spans="1:5" x14ac:dyDescent="0.3">
      <c r="A21" s="7"/>
      <c r="B21" s="7"/>
      <c r="C21" s="2" t="s">
        <v>326</v>
      </c>
      <c r="D21" s="5">
        <v>50</v>
      </c>
      <c r="E21" s="3" t="s">
        <v>95</v>
      </c>
    </row>
    <row r="22" spans="1:5" x14ac:dyDescent="0.3">
      <c r="A22" s="7"/>
      <c r="B22" s="7"/>
      <c r="C22" s="2" t="s">
        <v>154</v>
      </c>
      <c r="D22" s="5">
        <v>20</v>
      </c>
      <c r="E22" s="3" t="s">
        <v>95</v>
      </c>
    </row>
    <row r="23" spans="1:5" x14ac:dyDescent="0.3">
      <c r="A23" s="7"/>
      <c r="B23" s="7"/>
      <c r="C23" s="2" t="s">
        <v>366</v>
      </c>
      <c r="D23" s="5">
        <v>60</v>
      </c>
      <c r="E23" s="3" t="s">
        <v>95</v>
      </c>
    </row>
    <row r="24" spans="1:5" x14ac:dyDescent="0.3">
      <c r="A24" s="7" t="s">
        <v>4</v>
      </c>
      <c r="B24" s="7">
        <v>40</v>
      </c>
      <c r="C24" s="2" t="s">
        <v>367</v>
      </c>
      <c r="D24" s="5">
        <v>150</v>
      </c>
      <c r="E24" s="3" t="s">
        <v>95</v>
      </c>
    </row>
    <row r="25" spans="1:5" x14ac:dyDescent="0.3">
      <c r="A25" s="7"/>
      <c r="B25" s="7"/>
      <c r="C25" s="2" t="s">
        <v>246</v>
      </c>
      <c r="D25" s="5">
        <v>1</v>
      </c>
      <c r="E25" s="3" t="s">
        <v>94</v>
      </c>
    </row>
    <row r="26" spans="1:5" x14ac:dyDescent="0.3">
      <c r="A26" s="7"/>
      <c r="B26" s="7"/>
      <c r="C26" s="2" t="s">
        <v>368</v>
      </c>
      <c r="D26" s="5">
        <v>6</v>
      </c>
      <c r="E26" s="3" t="s">
        <v>94</v>
      </c>
    </row>
    <row r="27" spans="1:5" x14ac:dyDescent="0.3">
      <c r="A27" s="7"/>
      <c r="B27" s="7"/>
      <c r="C27" s="2" t="s">
        <v>137</v>
      </c>
      <c r="D27" s="5">
        <v>1</v>
      </c>
      <c r="E27" s="3" t="s">
        <v>94</v>
      </c>
    </row>
    <row r="28" spans="1:5" x14ac:dyDescent="0.3">
      <c r="A28" s="7"/>
      <c r="B28" s="7"/>
      <c r="C28" s="2" t="s">
        <v>108</v>
      </c>
      <c r="D28" s="5">
        <v>1</v>
      </c>
      <c r="E28" s="3" t="s">
        <v>94</v>
      </c>
    </row>
    <row r="29" spans="1:5" x14ac:dyDescent="0.3">
      <c r="A29" s="7"/>
      <c r="B29" s="7"/>
      <c r="C29" s="2" t="s">
        <v>369</v>
      </c>
      <c r="D29" s="5">
        <v>2</v>
      </c>
      <c r="E29" s="3" t="s">
        <v>107</v>
      </c>
    </row>
    <row r="30" spans="1:5" x14ac:dyDescent="0.3">
      <c r="A30" s="7"/>
      <c r="B30" s="7"/>
      <c r="C30" s="2" t="s">
        <v>122</v>
      </c>
      <c r="D30" s="5">
        <v>1</v>
      </c>
      <c r="E30" s="3" t="s">
        <v>94</v>
      </c>
    </row>
    <row r="31" spans="1:5" x14ac:dyDescent="0.3">
      <c r="A31" s="7"/>
      <c r="B31" s="7"/>
      <c r="C31" s="2" t="s">
        <v>114</v>
      </c>
      <c r="D31" s="5">
        <v>1</v>
      </c>
      <c r="E31" s="3" t="s">
        <v>94</v>
      </c>
    </row>
    <row r="32" spans="1:5" x14ac:dyDescent="0.3">
      <c r="A32" s="7"/>
      <c r="B32" s="7"/>
      <c r="C32" s="2" t="s">
        <v>166</v>
      </c>
      <c r="D32" s="5">
        <v>1</v>
      </c>
      <c r="E32" s="3" t="s">
        <v>107</v>
      </c>
    </row>
    <row r="33" spans="1:5" x14ac:dyDescent="0.3">
      <c r="A33" s="7"/>
      <c r="B33" s="7"/>
      <c r="C33" s="2" t="s">
        <v>115</v>
      </c>
      <c r="D33" s="5">
        <v>1</v>
      </c>
      <c r="E33" s="3" t="s">
        <v>94</v>
      </c>
    </row>
    <row r="34" spans="1:5" x14ac:dyDescent="0.3">
      <c r="A34" s="7"/>
      <c r="B34" s="7"/>
      <c r="C34" s="2" t="s">
        <v>116</v>
      </c>
      <c r="D34" s="5">
        <v>1</v>
      </c>
      <c r="E34" s="3" t="s">
        <v>94</v>
      </c>
    </row>
    <row r="35" spans="1:5" x14ac:dyDescent="0.3">
      <c r="A35" s="7"/>
      <c r="B35" s="7"/>
      <c r="C35" s="2" t="s">
        <v>93</v>
      </c>
      <c r="D35" s="5">
        <v>375</v>
      </c>
      <c r="E35" s="3" t="s">
        <v>95</v>
      </c>
    </row>
    <row r="36" spans="1:5" x14ac:dyDescent="0.3">
      <c r="A36" s="7"/>
      <c r="B36" s="7"/>
      <c r="C36" s="2" t="s">
        <v>370</v>
      </c>
      <c r="D36" s="5">
        <v>60</v>
      </c>
      <c r="E36" s="3" t="s">
        <v>95</v>
      </c>
    </row>
    <row r="37" spans="1:5" x14ac:dyDescent="0.3">
      <c r="A37" s="7"/>
      <c r="B37" s="7"/>
      <c r="C37" s="2" t="s">
        <v>122</v>
      </c>
      <c r="D37" s="5">
        <v>60</v>
      </c>
      <c r="E37" s="3" t="s">
        <v>99</v>
      </c>
    </row>
    <row r="38" spans="1:5" x14ac:dyDescent="0.3">
      <c r="A38" s="7"/>
      <c r="B38" s="7"/>
      <c r="C38" s="2" t="s">
        <v>352</v>
      </c>
      <c r="D38" s="5">
        <v>120</v>
      </c>
      <c r="E38" s="3" t="s">
        <v>99</v>
      </c>
    </row>
    <row r="39" spans="1:5" x14ac:dyDescent="0.3">
      <c r="A39" s="7"/>
      <c r="B39" s="7"/>
      <c r="C39" s="2" t="s">
        <v>323</v>
      </c>
      <c r="D39" s="5">
        <v>25</v>
      </c>
      <c r="E39" s="3" t="s">
        <v>95</v>
      </c>
    </row>
    <row r="40" spans="1:5" x14ac:dyDescent="0.3">
      <c r="A40" s="7" t="s">
        <v>5</v>
      </c>
      <c r="B40" s="7">
        <v>52</v>
      </c>
      <c r="C40" s="2" t="s">
        <v>371</v>
      </c>
      <c r="D40" s="5">
        <v>200</v>
      </c>
      <c r="E40" s="3" t="s">
        <v>95</v>
      </c>
    </row>
    <row r="41" spans="1:5" x14ac:dyDescent="0.3">
      <c r="A41" s="7"/>
      <c r="B41" s="7"/>
      <c r="C41" s="2" t="s">
        <v>126</v>
      </c>
      <c r="D41" s="5">
        <v>3</v>
      </c>
      <c r="E41" s="3" t="s">
        <v>94</v>
      </c>
    </row>
    <row r="42" spans="1:5" x14ac:dyDescent="0.3">
      <c r="A42" s="7"/>
      <c r="B42" s="7"/>
      <c r="C42" s="2" t="s">
        <v>246</v>
      </c>
      <c r="D42" s="5">
        <v>1</v>
      </c>
      <c r="E42" s="3" t="s">
        <v>94</v>
      </c>
    </row>
    <row r="43" spans="1:5" x14ac:dyDescent="0.3">
      <c r="A43" s="7"/>
      <c r="B43" s="7"/>
      <c r="C43" s="2" t="s">
        <v>108</v>
      </c>
      <c r="D43" s="5">
        <v>1</v>
      </c>
      <c r="E43" s="3" t="s">
        <v>94</v>
      </c>
    </row>
    <row r="44" spans="1:5" x14ac:dyDescent="0.3">
      <c r="A44" s="7"/>
      <c r="B44" s="7"/>
      <c r="C44" s="2" t="s">
        <v>97</v>
      </c>
      <c r="D44" s="5">
        <v>1</v>
      </c>
      <c r="E44" s="3" t="s">
        <v>94</v>
      </c>
    </row>
    <row r="45" spans="1:5" x14ac:dyDescent="0.3">
      <c r="A45" s="7"/>
      <c r="B45" s="7"/>
      <c r="C45" s="2" t="s">
        <v>118</v>
      </c>
      <c r="D45" s="5">
        <v>2</v>
      </c>
      <c r="E45" s="3" t="s">
        <v>94</v>
      </c>
    </row>
    <row r="46" spans="1:5" x14ac:dyDescent="0.3">
      <c r="A46" s="7"/>
      <c r="B46" s="7"/>
      <c r="C46" s="2" t="s">
        <v>122</v>
      </c>
      <c r="D46" s="5">
        <v>1</v>
      </c>
      <c r="E46" s="3" t="s">
        <v>94</v>
      </c>
    </row>
    <row r="47" spans="1:5" x14ac:dyDescent="0.3">
      <c r="A47" s="7"/>
      <c r="B47" s="7"/>
      <c r="C47" s="2" t="s">
        <v>114</v>
      </c>
      <c r="D47" s="5">
        <v>1</v>
      </c>
      <c r="E47" s="3" t="s">
        <v>94</v>
      </c>
    </row>
    <row r="48" spans="1:5" x14ac:dyDescent="0.3">
      <c r="A48" s="7"/>
      <c r="B48" s="7"/>
      <c r="C48" s="2" t="s">
        <v>115</v>
      </c>
      <c r="D48" s="5">
        <v>1</v>
      </c>
      <c r="E48" s="3" t="s">
        <v>94</v>
      </c>
    </row>
    <row r="49" spans="1:5" x14ac:dyDescent="0.3">
      <c r="A49" s="7"/>
      <c r="B49" s="7"/>
      <c r="C49" s="2" t="s">
        <v>116</v>
      </c>
      <c r="D49" s="5">
        <v>1</v>
      </c>
      <c r="E49" s="3" t="s">
        <v>94</v>
      </c>
    </row>
    <row r="50" spans="1:5" x14ac:dyDescent="0.3">
      <c r="A50" s="7"/>
      <c r="B50" s="7"/>
      <c r="C50" s="2" t="s">
        <v>372</v>
      </c>
      <c r="D50" s="5">
        <v>100</v>
      </c>
      <c r="E50" s="3" t="s">
        <v>95</v>
      </c>
    </row>
    <row r="51" spans="1:5" x14ac:dyDescent="0.3">
      <c r="A51" s="7"/>
      <c r="B51" s="7"/>
      <c r="C51" s="2" t="s">
        <v>93</v>
      </c>
      <c r="D51" s="5">
        <v>100</v>
      </c>
      <c r="E51" s="3" t="s">
        <v>95</v>
      </c>
    </row>
    <row r="52" spans="1:5" x14ac:dyDescent="0.3">
      <c r="A52" s="7"/>
      <c r="B52" s="7"/>
      <c r="C52" s="2" t="s">
        <v>352</v>
      </c>
      <c r="D52" s="5">
        <v>175</v>
      </c>
      <c r="E52" s="3" t="s">
        <v>99</v>
      </c>
    </row>
    <row r="53" spans="1:5" x14ac:dyDescent="0.3">
      <c r="A53" s="7"/>
      <c r="B53" s="7"/>
      <c r="C53" s="2" t="s">
        <v>122</v>
      </c>
      <c r="D53" s="5">
        <v>2</v>
      </c>
      <c r="E53" s="3" t="s">
        <v>107</v>
      </c>
    </row>
    <row r="54" spans="1:5" x14ac:dyDescent="0.3">
      <c r="A54" s="7"/>
      <c r="B54" s="7"/>
      <c r="C54" s="2" t="s">
        <v>116</v>
      </c>
      <c r="D54" s="5">
        <v>1</v>
      </c>
      <c r="E54" s="3" t="s">
        <v>94</v>
      </c>
    </row>
    <row r="55" spans="1:5" x14ac:dyDescent="0.3">
      <c r="A55" s="7" t="s">
        <v>6</v>
      </c>
      <c r="B55" s="7">
        <v>53</v>
      </c>
      <c r="C55" s="2" t="s">
        <v>152</v>
      </c>
      <c r="D55" s="5">
        <v>200</v>
      </c>
      <c r="E55" s="3" t="s">
        <v>95</v>
      </c>
    </row>
    <row r="56" spans="1:5" x14ac:dyDescent="0.3">
      <c r="A56" s="7"/>
      <c r="B56" s="7"/>
      <c r="C56" s="2" t="s">
        <v>185</v>
      </c>
      <c r="D56" s="5">
        <v>200</v>
      </c>
      <c r="E56" s="3" t="s">
        <v>95</v>
      </c>
    </row>
    <row r="57" spans="1:5" x14ac:dyDescent="0.3">
      <c r="A57" s="7"/>
      <c r="B57" s="7"/>
      <c r="C57" s="2" t="s">
        <v>246</v>
      </c>
      <c r="D57" s="5">
        <v>1</v>
      </c>
      <c r="E57" s="3" t="s">
        <v>94</v>
      </c>
    </row>
    <row r="58" spans="1:5" x14ac:dyDescent="0.3">
      <c r="A58" s="7"/>
      <c r="B58" s="7"/>
      <c r="C58" s="2" t="s">
        <v>108</v>
      </c>
      <c r="D58" s="5">
        <v>1</v>
      </c>
      <c r="E58" s="3" t="s">
        <v>94</v>
      </c>
    </row>
    <row r="59" spans="1:5" x14ac:dyDescent="0.3">
      <c r="A59" s="7"/>
      <c r="B59" s="7"/>
      <c r="C59" s="2" t="s">
        <v>153</v>
      </c>
      <c r="D59" s="5">
        <v>2</v>
      </c>
      <c r="E59" s="3" t="s">
        <v>94</v>
      </c>
    </row>
    <row r="60" spans="1:5" x14ac:dyDescent="0.3">
      <c r="A60" s="7"/>
      <c r="B60" s="7"/>
      <c r="C60" s="2" t="s">
        <v>156</v>
      </c>
      <c r="D60" s="5">
        <v>200</v>
      </c>
      <c r="E60" s="3" t="s">
        <v>99</v>
      </c>
    </row>
    <row r="61" spans="1:5" x14ac:dyDescent="0.3">
      <c r="A61" s="7"/>
      <c r="B61" s="7"/>
      <c r="C61" s="2" t="s">
        <v>122</v>
      </c>
      <c r="D61" s="5">
        <v>1</v>
      </c>
      <c r="E61" s="3" t="s">
        <v>94</v>
      </c>
    </row>
    <row r="62" spans="1:5" x14ac:dyDescent="0.3">
      <c r="A62" s="7"/>
      <c r="B62" s="7"/>
      <c r="C62" s="2" t="s">
        <v>114</v>
      </c>
      <c r="D62" s="5">
        <v>1</v>
      </c>
      <c r="E62" s="3" t="s">
        <v>94</v>
      </c>
    </row>
    <row r="63" spans="1:5" x14ac:dyDescent="0.3">
      <c r="A63" s="7"/>
      <c r="B63" s="7"/>
      <c r="C63" s="2" t="s">
        <v>116</v>
      </c>
      <c r="D63" s="5">
        <v>1</v>
      </c>
      <c r="E63" s="3" t="s">
        <v>94</v>
      </c>
    </row>
    <row r="64" spans="1:5" x14ac:dyDescent="0.3">
      <c r="A64" s="7"/>
      <c r="B64" s="7"/>
      <c r="C64" s="2" t="s">
        <v>93</v>
      </c>
      <c r="D64" s="5">
        <v>200</v>
      </c>
      <c r="E64" s="3" t="s">
        <v>95</v>
      </c>
    </row>
    <row r="65" spans="1:5" x14ac:dyDescent="0.3">
      <c r="A65" s="7"/>
      <c r="B65" s="7"/>
      <c r="C65" s="2" t="s">
        <v>154</v>
      </c>
      <c r="D65" s="5">
        <v>100</v>
      </c>
      <c r="E65" s="3" t="s">
        <v>95</v>
      </c>
    </row>
    <row r="66" spans="1:5" x14ac:dyDescent="0.3">
      <c r="A66" s="7"/>
      <c r="B66" s="7"/>
      <c r="C66" s="2" t="s">
        <v>153</v>
      </c>
      <c r="D66" s="5">
        <v>1</v>
      </c>
      <c r="E66" s="3" t="s">
        <v>94</v>
      </c>
    </row>
    <row r="67" spans="1:5" x14ac:dyDescent="0.3">
      <c r="A67" s="7"/>
      <c r="B67" s="7"/>
      <c r="C67" s="2" t="s">
        <v>116</v>
      </c>
      <c r="D67" s="5">
        <v>1</v>
      </c>
      <c r="E67" s="3" t="s">
        <v>107</v>
      </c>
    </row>
    <row r="68" spans="1:5" x14ac:dyDescent="0.3">
      <c r="A68" s="7" t="s">
        <v>7</v>
      </c>
      <c r="B68" s="7">
        <v>56</v>
      </c>
      <c r="C68" s="2" t="s">
        <v>373</v>
      </c>
      <c r="D68" s="5">
        <v>525</v>
      </c>
      <c r="E68" s="3" t="s">
        <v>95</v>
      </c>
    </row>
    <row r="69" spans="1:5" x14ac:dyDescent="0.3">
      <c r="A69" s="7"/>
      <c r="B69" s="7"/>
      <c r="C69" s="2" t="s">
        <v>365</v>
      </c>
      <c r="D69" s="5">
        <v>80</v>
      </c>
      <c r="E69" s="3" t="s">
        <v>95</v>
      </c>
    </row>
    <row r="70" spans="1:5" x14ac:dyDescent="0.3">
      <c r="A70" s="7"/>
      <c r="B70" s="7"/>
      <c r="C70" s="2" t="s">
        <v>323</v>
      </c>
      <c r="D70" s="5">
        <v>7.5</v>
      </c>
      <c r="E70" s="3" t="s">
        <v>95</v>
      </c>
    </row>
    <row r="71" spans="1:5" x14ac:dyDescent="0.3">
      <c r="A71" s="7"/>
      <c r="B71" s="7"/>
      <c r="C71" s="2" t="s">
        <v>352</v>
      </c>
      <c r="D71" s="5">
        <v>375</v>
      </c>
      <c r="E71" s="3" t="s">
        <v>99</v>
      </c>
    </row>
    <row r="72" spans="1:5" x14ac:dyDescent="0.3">
      <c r="A72" s="7"/>
      <c r="B72" s="7"/>
      <c r="C72" s="2" t="s">
        <v>116</v>
      </c>
      <c r="D72" s="5">
        <v>11</v>
      </c>
      <c r="E72" s="3" t="s">
        <v>95</v>
      </c>
    </row>
  </sheetData>
  <mergeCells count="12">
    <mergeCell ref="B40:B54"/>
    <mergeCell ref="A40:A54"/>
    <mergeCell ref="B55:B67"/>
    <mergeCell ref="A55:A67"/>
    <mergeCell ref="B68:B72"/>
    <mergeCell ref="A68:A72"/>
    <mergeCell ref="B2:B15"/>
    <mergeCell ref="A2:A15"/>
    <mergeCell ref="B16:B23"/>
    <mergeCell ref="A16:A23"/>
    <mergeCell ref="B24:B39"/>
    <mergeCell ref="A24:A39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183D08D-ED2C-4D62-BE6B-BCFC88E4EB7B}">
          <x14:formula1>
            <xm:f>Otros!$B$3:$B$6</xm:f>
          </x14:formula1>
          <xm:sqref>E2:E1048576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FF78A-64DC-431E-AC22-CAF45F404803}">
  <dimension ref="A1:P226"/>
  <sheetViews>
    <sheetView tabSelected="1" topLeftCell="G1" workbookViewId="0">
      <selection activeCell="P8" sqref="P8"/>
    </sheetView>
  </sheetViews>
  <sheetFormatPr baseColWidth="10" defaultRowHeight="14.4" x14ac:dyDescent="0.3"/>
  <cols>
    <col min="1" max="4" width="11.5546875" style="12"/>
    <col min="5" max="5" width="20.6640625" style="12" bestFit="1" customWidth="1"/>
    <col min="6" max="6" width="19.33203125" style="12" bestFit="1" customWidth="1"/>
    <col min="7" max="7" width="14.44140625" style="12" bestFit="1" customWidth="1"/>
    <col min="8" max="8" width="17.21875" style="12" bestFit="1" customWidth="1"/>
    <col min="9" max="9" width="16.6640625" style="12" bestFit="1" customWidth="1"/>
    <col min="10" max="10" width="20.6640625" style="12" bestFit="1" customWidth="1"/>
    <col min="11" max="11" width="22.6640625" style="12" bestFit="1" customWidth="1"/>
    <col min="12" max="12" width="22.109375" style="12" bestFit="1" customWidth="1"/>
    <col min="13" max="13" width="17.88671875" style="12" bestFit="1" customWidth="1"/>
    <col min="14" max="14" width="28.77734375" style="12" bestFit="1" customWidth="1"/>
    <col min="15" max="15" width="16.5546875" style="12" bestFit="1" customWidth="1"/>
    <col min="16" max="16" width="20.6640625" style="12" bestFit="1" customWidth="1"/>
    <col min="17" max="16384" width="11.5546875" style="12"/>
  </cols>
  <sheetData>
    <row r="1" spans="1:16" ht="15" thickBot="1" x14ac:dyDescent="0.35">
      <c r="A1" s="29" t="s">
        <v>96</v>
      </c>
      <c r="B1" s="30"/>
    </row>
    <row r="2" spans="1:16" x14ac:dyDescent="0.3">
      <c r="A2" s="17" t="s">
        <v>105</v>
      </c>
      <c r="B2" s="18" t="s">
        <v>102</v>
      </c>
    </row>
    <row r="3" spans="1:16" x14ac:dyDescent="0.3">
      <c r="A3" s="19" t="s">
        <v>103</v>
      </c>
      <c r="B3" s="20" t="s">
        <v>95</v>
      </c>
    </row>
    <row r="4" spans="1:16" x14ac:dyDescent="0.3">
      <c r="A4" s="19" t="s">
        <v>104</v>
      </c>
      <c r="B4" s="20" t="s">
        <v>99</v>
      </c>
    </row>
    <row r="5" spans="1:16" ht="15" thickBot="1" x14ac:dyDescent="0.35">
      <c r="A5" s="19" t="s">
        <v>96</v>
      </c>
      <c r="B5" s="20" t="s">
        <v>94</v>
      </c>
    </row>
    <row r="6" spans="1:16" ht="15" thickBot="1" x14ac:dyDescent="0.35">
      <c r="A6" s="21" t="s">
        <v>106</v>
      </c>
      <c r="B6" s="22" t="s">
        <v>107</v>
      </c>
      <c r="E6" s="23" t="s">
        <v>1</v>
      </c>
      <c r="F6" s="24"/>
      <c r="G6" s="24"/>
      <c r="H6" s="24"/>
      <c r="I6" s="24"/>
      <c r="J6" s="24"/>
      <c r="K6" s="24"/>
      <c r="L6" s="24"/>
      <c r="M6" s="24"/>
      <c r="N6" s="24"/>
      <c r="O6" s="24"/>
      <c r="P6" s="25"/>
    </row>
    <row r="7" spans="1:16" x14ac:dyDescent="0.3">
      <c r="E7" s="32" t="s">
        <v>374</v>
      </c>
      <c r="F7" s="33" t="s">
        <v>375</v>
      </c>
      <c r="G7" s="33" t="s">
        <v>376</v>
      </c>
      <c r="H7" s="33" t="s">
        <v>377</v>
      </c>
      <c r="I7" s="33" t="s">
        <v>378</v>
      </c>
      <c r="J7" s="33" t="s">
        <v>379</v>
      </c>
      <c r="K7" s="33" t="s">
        <v>380</v>
      </c>
      <c r="L7" s="33" t="s">
        <v>381</v>
      </c>
      <c r="M7" s="33" t="s">
        <v>382</v>
      </c>
      <c r="N7" s="33" t="s">
        <v>383</v>
      </c>
      <c r="O7" s="34" t="s">
        <v>384</v>
      </c>
      <c r="P7" s="28" t="s">
        <v>385</v>
      </c>
    </row>
    <row r="8" spans="1:16" x14ac:dyDescent="0.3">
      <c r="E8" s="1" t="str" cm="1">
        <f t="array" ref="E8:E35">_xlfn._xlws.SORT(_xlfn.UNIQUE(Sopas!$C$2:$C$500))</f>
        <v>Aceite de oliva</v>
      </c>
      <c r="F8" s="1" t="str" cm="1">
        <f t="array" ref="F8:F26">_xlfn._xlws.SORT(_xlfn.UNIQUE(Cremas!$C$2:$C$500))</f>
        <v>Aceite de oliva</v>
      </c>
      <c r="G8" s="1" t="str" cm="1">
        <f t="array" ref="G8:G34">_xlfn._xlws.SORT(_xlfn.UNIQUE(Verduras!$C$2:$C$500))</f>
        <v>Aceite de oliva</v>
      </c>
      <c r="H8" s="1" t="str" cm="1">
        <f t="array" ref="H8:H47">_xlfn._xlws.SORT(_xlfn.UNIQUE(Legumbres!$C$2:$C$500))</f>
        <v>Aceite de oliva</v>
      </c>
      <c r="I8" s="1" t="str" cm="1">
        <f t="array" ref="I8:I34">_xlfn._xlws.SORT(_xlfn.UNIQUE(Huevos!$C$2:$C$500))</f>
        <v>Aceite de oliva</v>
      </c>
      <c r="J8" s="1" t="str" cm="1">
        <f t="array" ref="J8:J62">_xlfn._xlws.SORT(_xlfn.UNIQUE(Arroces!$C$2:$C$500))</f>
        <v>Aceite de oliva</v>
      </c>
      <c r="K8" s="1" t="str" cm="1">
        <f t="array" ref="K8:K74">_xlfn._xlws.SORT(_xlfn.UNIQUE(Pastas!$C$2:$C$500))</f>
        <v>Aceite de oliva</v>
      </c>
      <c r="L8" s="1" t="str" cm="1">
        <f t="array" ref="L8:L91">_xlfn._xlws.SORT(_xlfn.UNIQUE(Carnes!$C$2:$C$500))</f>
        <v>Aceite de las abóndigas</v>
      </c>
      <c r="M8" s="1" t="str" cm="1">
        <f t="array" ref="M8:M87">_xlfn._xlws.SORT(_xlfn.UNIQUE(Pescados!$C$2:$C$500))</f>
        <v>Aceite de oliva</v>
      </c>
      <c r="N8" s="1" t="str" cm="1">
        <f t="array" ref="N8:N62">_xlfn._xlws.SORT(_xlfn.UNIQUE(Postres!$C$2:$C$500))</f>
        <v>Aceite de oliva</v>
      </c>
      <c r="O8" s="1" t="str" cm="1">
        <f t="array" ref="O8:O43">_xlfn._xlws.SORT(_xlfn.UNIQUE(Panes!$C$2:$C$500))</f>
        <v>Aceite de oliva</v>
      </c>
      <c r="P8" s="1"/>
    </row>
    <row r="9" spans="1:16" x14ac:dyDescent="0.3">
      <c r="E9" s="1" t="str">
        <v>Cebolla</v>
      </c>
      <c r="F9" s="26" t="str">
        <v>Arroz</v>
      </c>
      <c r="G9" s="1" t="str">
        <v>Berenjena</v>
      </c>
      <c r="H9" s="1" t="str">
        <v>Alubias blancas</v>
      </c>
      <c r="I9" s="1" t="str">
        <v>Caldo de ave</v>
      </c>
      <c r="J9" s="1" t="str">
        <v>Aceitunas negras</v>
      </c>
      <c r="K9" s="1" t="str">
        <v>Aceitunas negras</v>
      </c>
      <c r="L9" s="1" t="str">
        <v>Aceite de oliva</v>
      </c>
      <c r="M9" s="1" t="str">
        <v>Agua con gas</v>
      </c>
      <c r="N9" s="1" t="str">
        <v>Agua</v>
      </c>
      <c r="O9" s="31" t="str">
        <v>Aceitunas</v>
      </c>
      <c r="P9" s="1"/>
    </row>
    <row r="10" spans="1:16" x14ac:dyDescent="0.3">
      <c r="E10" s="1" t="str">
        <v>Cilantro</v>
      </c>
      <c r="F10" s="26" t="str">
        <v>Calabacín</v>
      </c>
      <c r="G10" s="1" t="str">
        <v>Calabacín</v>
      </c>
      <c r="H10" s="1" t="str">
        <v>Alubias negras</v>
      </c>
      <c r="I10" s="1" t="str">
        <v>Carne picada</v>
      </c>
      <c r="J10" s="1" t="str">
        <v>Agua caliente</v>
      </c>
      <c r="K10" s="1" t="str">
        <v>Ajos frescos</v>
      </c>
      <c r="L10" s="1" t="str">
        <v>Ajo en polvo</v>
      </c>
      <c r="M10" s="1" t="str">
        <v>Alachofa</v>
      </c>
      <c r="N10" s="1" t="str">
        <v>Arándanos</v>
      </c>
      <c r="O10" s="31" t="str">
        <v>Agua</v>
      </c>
      <c r="P10" s="1"/>
    </row>
    <row r="11" spans="1:16" x14ac:dyDescent="0.3">
      <c r="E11" s="1" t="str">
        <v>Diente de ajo</v>
      </c>
      <c r="F11" s="26" t="str">
        <v>Caldo de verduras</v>
      </c>
      <c r="G11" s="1" t="str">
        <v>Cebolla</v>
      </c>
      <c r="H11" s="1" t="str">
        <v>Arroz integral</v>
      </c>
      <c r="I11" s="1" t="str">
        <v>Cebolla</v>
      </c>
      <c r="J11" s="1" t="str">
        <v>Ajos frescos</v>
      </c>
      <c r="K11" s="1" t="str">
        <v>Albahaca</v>
      </c>
      <c r="L11" s="1" t="str">
        <v>Aleta de ternera</v>
      </c>
      <c r="M11" s="1" t="str">
        <v>Atún</v>
      </c>
      <c r="N11" s="1" t="str">
        <v>Azúcar</v>
      </c>
      <c r="O11" s="31" t="str">
        <v>Alcaparras</v>
      </c>
      <c r="P11" s="1"/>
    </row>
    <row r="12" spans="1:16" x14ac:dyDescent="0.3">
      <c r="E12" s="1" t="str">
        <v>Fideos udon</v>
      </c>
      <c r="F12" s="26" t="str">
        <v>Cebolla</v>
      </c>
      <c r="G12" s="1" t="str">
        <v>Diente de ajo</v>
      </c>
      <c r="H12" s="1" t="str">
        <v>Butifarra blanca</v>
      </c>
      <c r="I12" s="1" t="str">
        <v>Diente de ajo</v>
      </c>
      <c r="J12" s="1" t="str">
        <v>Arroz</v>
      </c>
      <c r="K12" s="1" t="str">
        <v>Apio</v>
      </c>
      <c r="L12" s="1" t="str">
        <v>Almendra</v>
      </c>
      <c r="M12" s="1" t="str">
        <v>Azúcar moreno</v>
      </c>
      <c r="N12" s="1" t="str">
        <v>Azúcar glas</v>
      </c>
      <c r="O12" s="31" t="str">
        <v>Cacao en polvo</v>
      </c>
      <c r="P12" s="1"/>
    </row>
    <row r="13" spans="1:16" x14ac:dyDescent="0.3">
      <c r="E13" s="1" t="str">
        <v>Garbanzos</v>
      </c>
      <c r="F13" s="26" t="str">
        <v>Comino</v>
      </c>
      <c r="G13" s="1" t="str">
        <v>Harina</v>
      </c>
      <c r="H13" s="1" t="str">
        <v>Calabaza</v>
      </c>
      <c r="I13" s="1" t="str">
        <v>Guisantes</v>
      </c>
      <c r="J13" s="1" t="str">
        <v>Arroz basmati</v>
      </c>
      <c r="K13" s="1" t="str">
        <v>Calabacín</v>
      </c>
      <c r="L13" s="1" t="str">
        <v>Arroz</v>
      </c>
      <c r="M13" s="1" t="str">
        <v>Bacalao</v>
      </c>
      <c r="N13" s="1" t="str">
        <v>Bicarbonato</v>
      </c>
      <c r="O13" s="31" t="str">
        <v>Calabacín</v>
      </c>
      <c r="P13" s="1"/>
    </row>
    <row r="14" spans="1:16" x14ac:dyDescent="0.3">
      <c r="E14" s="1" t="str">
        <v>Guindilla</v>
      </c>
      <c r="F14" s="26" t="str">
        <v>Huevas de trucha</v>
      </c>
      <c r="G14" s="1" t="str">
        <v>Huevo</v>
      </c>
      <c r="H14" s="1" t="str">
        <v>Cebolla</v>
      </c>
      <c r="I14" s="1" t="str">
        <v>Harina</v>
      </c>
      <c r="J14" s="1" t="str">
        <v>Azafrán</v>
      </c>
      <c r="K14" s="1" t="str">
        <v>Caldo de pescado</v>
      </c>
      <c r="L14" s="1" t="str">
        <v>Arroz largo</v>
      </c>
      <c r="M14" s="1" t="str">
        <v>Bonito</v>
      </c>
      <c r="N14" s="1" t="str">
        <v>Cacao en polvo</v>
      </c>
      <c r="O14" s="31" t="str">
        <v>Cebolleta</v>
      </c>
      <c r="P14" s="1"/>
    </row>
    <row r="15" spans="1:16" x14ac:dyDescent="0.3">
      <c r="E15" s="1" t="str">
        <v>Hueso de cañada</v>
      </c>
      <c r="F15" s="26" t="str">
        <v>Jamón</v>
      </c>
      <c r="G15" s="1" t="str">
        <v>Jamón cocido</v>
      </c>
      <c r="H15" s="1" t="str">
        <v>Cebolla dulce</v>
      </c>
      <c r="I15" s="1" t="str">
        <v>Huevo</v>
      </c>
      <c r="J15" s="1" t="str">
        <v>Brandy</v>
      </c>
      <c r="K15" s="1" t="str">
        <v>Canela</v>
      </c>
      <c r="L15" s="1" t="str">
        <v>Azafrán</v>
      </c>
      <c r="M15" s="1" t="str">
        <v>Borraja</v>
      </c>
      <c r="N15" s="1" t="str">
        <v>Canela</v>
      </c>
      <c r="O15" s="31" t="str">
        <v>Copos de avena</v>
      </c>
      <c r="P15" s="1"/>
    </row>
    <row r="16" spans="1:16" x14ac:dyDescent="0.3">
      <c r="E16" s="1" t="str">
        <v>Miga de pan</v>
      </c>
      <c r="F16" s="26" t="str">
        <v>Láminas de pasta brick</v>
      </c>
      <c r="G16" s="1" t="str">
        <v>Leche</v>
      </c>
      <c r="H16" s="1" t="str">
        <v>Chícharos</v>
      </c>
      <c r="I16" s="1" t="str">
        <v>Huevos de codorniz</v>
      </c>
      <c r="J16" s="1" t="str">
        <v>Cabeza de ajos</v>
      </c>
      <c r="K16" s="1" t="str">
        <v>Canelón</v>
      </c>
      <c r="L16" s="1" t="str">
        <v>Azúcar</v>
      </c>
      <c r="M16" s="1" t="str">
        <v>Calabaza</v>
      </c>
      <c r="N16" s="1" t="str">
        <v>Cerezas</v>
      </c>
      <c r="O16" s="31" t="str">
        <v>Diente de ajo</v>
      </c>
      <c r="P16" s="1"/>
    </row>
    <row r="17" spans="5:16" x14ac:dyDescent="0.3">
      <c r="E17" s="1" t="str">
        <v>Muslo de pollo</v>
      </c>
      <c r="F17" s="26" t="str">
        <v>Leche evaporada</v>
      </c>
      <c r="G17" s="1" t="str">
        <v>Mantequilla</v>
      </c>
      <c r="H17" s="1" t="str">
        <v>Chorizo</v>
      </c>
      <c r="I17" s="1" t="str">
        <v>Jamón</v>
      </c>
      <c r="J17" s="1" t="str">
        <v>Calabacín</v>
      </c>
      <c r="K17" s="1" t="str">
        <v>Carne picada</v>
      </c>
      <c r="L17" s="1" t="str">
        <v>Azúcar moreno</v>
      </c>
      <c r="M17" s="1" t="str">
        <v>Calamar</v>
      </c>
      <c r="N17" s="1" t="str">
        <v>Chocolate blanco de cobertura</v>
      </c>
      <c r="O17" s="31" t="str">
        <v>Gotas de chocolate</v>
      </c>
      <c r="P17" s="1"/>
    </row>
    <row r="18" spans="5:16" x14ac:dyDescent="0.3">
      <c r="E18" s="1" t="str">
        <v>Nuez moscada</v>
      </c>
      <c r="F18" s="26" t="str">
        <v>Manzana</v>
      </c>
      <c r="G18" s="1" t="str">
        <v>Nata</v>
      </c>
      <c r="H18" s="1" t="str">
        <v>Cilantro</v>
      </c>
      <c r="I18" s="1" t="str">
        <v>Jengibre</v>
      </c>
      <c r="J18" s="1" t="str">
        <v>Caldo de carne</v>
      </c>
      <c r="K18" s="1" t="str">
        <v>Cayena</v>
      </c>
      <c r="L18" s="1" t="str">
        <v>Berenjena</v>
      </c>
      <c r="M18" s="1" t="str">
        <v>Caldo de pescado</v>
      </c>
      <c r="N18" s="1" t="str">
        <v>Chocolate de cobertura</v>
      </c>
      <c r="O18" s="31" t="str">
        <v>Harina</v>
      </c>
      <c r="P18" s="1"/>
    </row>
    <row r="19" spans="5:16" x14ac:dyDescent="0.3">
      <c r="E19" s="1" t="str">
        <v>Pastilla de caldo de pollo</v>
      </c>
      <c r="F19" s="26" t="str">
        <v>Perejil</v>
      </c>
      <c r="G19" s="1" t="str">
        <v>Orégano</v>
      </c>
      <c r="H19" s="1" t="str">
        <v>Codillo de cerdo</v>
      </c>
      <c r="I19" s="1" t="str">
        <v>Kétchup</v>
      </c>
      <c r="J19" s="1" t="str">
        <v>Caldo de pollo</v>
      </c>
      <c r="K19" s="1" t="str">
        <v>Cebolla</v>
      </c>
      <c r="L19" s="1" t="str">
        <v>Boletus</v>
      </c>
      <c r="M19" s="1" t="str">
        <v>Canónigos</v>
      </c>
      <c r="N19" s="1" t="str">
        <v>Chocolate negro de cobertura</v>
      </c>
      <c r="O19" s="31" t="str">
        <v>Harina integral</v>
      </c>
      <c r="P19" s="1"/>
    </row>
    <row r="20" spans="5:16" x14ac:dyDescent="0.3">
      <c r="E20" s="1" t="str">
        <v>Pechuga de pollo</v>
      </c>
      <c r="F20" s="26" t="str">
        <v>Pimienta</v>
      </c>
      <c r="G20" s="1" t="str">
        <v>Pan rallado</v>
      </c>
      <c r="H20" s="1" t="str">
        <v>Comino</v>
      </c>
      <c r="I20" s="1" t="str">
        <v>Lonchas panceta</v>
      </c>
      <c r="J20" s="1" t="str">
        <v>Caldo de verduras</v>
      </c>
      <c r="K20" s="1" t="str">
        <v>Cebolleta</v>
      </c>
      <c r="L20" s="1" t="str">
        <v>Caldo de carne</v>
      </c>
      <c r="M20" s="1" t="str">
        <v>Cayena</v>
      </c>
      <c r="N20" s="1" t="str">
        <v>Corteza de limón</v>
      </c>
      <c r="O20" s="31" t="str">
        <v>Huevo</v>
      </c>
      <c r="P20" s="1"/>
    </row>
    <row r="21" spans="5:16" x14ac:dyDescent="0.3">
      <c r="E21" s="1" t="str">
        <v>Perejil</v>
      </c>
      <c r="F21" s="26" t="str">
        <v>Pimiento verde</v>
      </c>
      <c r="G21" s="1" t="str">
        <v>Panceta</v>
      </c>
      <c r="H21" s="1" t="str">
        <v>Cúrcuma</v>
      </c>
      <c r="I21" s="1" t="str">
        <v>Manzana</v>
      </c>
      <c r="J21" s="1" t="str">
        <v>Cebolla</v>
      </c>
      <c r="K21" s="1" t="str">
        <v>Champiñón</v>
      </c>
      <c r="L21" s="1" t="str">
        <v>Carne de cordero picada</v>
      </c>
      <c r="M21" s="1" t="str">
        <v>Cayena en polvo</v>
      </c>
      <c r="N21" s="1" t="str">
        <v>Corteza de naranja</v>
      </c>
      <c r="O21" s="31" t="str">
        <v>Lata atún</v>
      </c>
      <c r="P21" s="1"/>
    </row>
    <row r="22" spans="5:16" x14ac:dyDescent="0.3">
      <c r="E22" s="1" t="str">
        <v>Picatostes</v>
      </c>
      <c r="F22" s="26" t="str">
        <v>Sal</v>
      </c>
      <c r="G22" s="1" t="str">
        <v>Patata</v>
      </c>
      <c r="H22" s="1" t="str">
        <v>Diente de ajo</v>
      </c>
      <c r="I22" s="1" t="str">
        <v>Mezcla rebozar</v>
      </c>
      <c r="J22" s="1" t="str">
        <v>Champiñones</v>
      </c>
      <c r="K22" s="1" t="str">
        <v>Cintas de pasta</v>
      </c>
      <c r="L22" s="1" t="str">
        <v>Carne picada mixto</v>
      </c>
      <c r="M22" s="1" t="str">
        <v>Cebolla</v>
      </c>
      <c r="N22" s="1" t="str">
        <v>Crocanti de almendra</v>
      </c>
      <c r="O22" s="31" t="str">
        <v>Leche</v>
      </c>
      <c r="P22" s="1"/>
    </row>
    <row r="23" spans="5:16" x14ac:dyDescent="0.3">
      <c r="E23" s="1" t="str">
        <v>Pimienta negra</v>
      </c>
      <c r="F23" s="26" t="str">
        <v>Tomate pera</v>
      </c>
      <c r="G23" s="1" t="str">
        <v>Pechuga de pavo</v>
      </c>
      <c r="H23" s="1" t="str">
        <v>Fideos</v>
      </c>
      <c r="I23" s="1" t="str">
        <v>Mostaza</v>
      </c>
      <c r="J23" s="1" t="str">
        <v>Chorizo</v>
      </c>
      <c r="K23" s="1" t="str">
        <v>Costilla de cerdo</v>
      </c>
      <c r="L23" s="1" t="str">
        <v>Carrilleras de ternera</v>
      </c>
      <c r="M23" s="1" t="str">
        <v>Cebolla en polvo</v>
      </c>
      <c r="N23" s="1" t="str">
        <v>Esencia de vainilla</v>
      </c>
      <c r="O23" s="31" t="str">
        <v>Levadura</v>
      </c>
      <c r="P23" s="1"/>
    </row>
    <row r="24" spans="5:16" x14ac:dyDescent="0.3">
      <c r="E24" s="1" t="str">
        <v>Pimiento rojo</v>
      </c>
      <c r="F24" s="26" t="str">
        <v>Vinagre</v>
      </c>
      <c r="G24" s="1" t="str">
        <v>Perejil</v>
      </c>
      <c r="H24" s="1" t="str">
        <v>Garbanzos</v>
      </c>
      <c r="I24" s="1" t="str">
        <v>Pan rallado</v>
      </c>
      <c r="J24" s="1" t="str">
        <v>Costilla de cerdo</v>
      </c>
      <c r="K24" s="1" t="str">
        <v>Diente de ajo</v>
      </c>
      <c r="L24" s="1" t="str">
        <v>Cayena</v>
      </c>
      <c r="M24" s="1" t="str">
        <v>Cebolla roja</v>
      </c>
      <c r="N24" s="1" t="str">
        <v>Frambuesas</v>
      </c>
      <c r="O24" s="31" t="str">
        <v>Lomo de cerdo</v>
      </c>
      <c r="P24" s="1"/>
    </row>
    <row r="25" spans="5:16" x14ac:dyDescent="0.3">
      <c r="E25" s="1" t="str">
        <v>Pimiento verde</v>
      </c>
      <c r="F25" s="26" t="str">
        <v>Zanahoria</v>
      </c>
      <c r="G25" s="1" t="str">
        <v>Pimienta</v>
      </c>
      <c r="H25" s="1" t="str">
        <v>Harina de garbanzo</v>
      </c>
      <c r="I25" s="1" t="str">
        <v>Perejil</v>
      </c>
      <c r="J25" s="1" t="str">
        <v>Curry</v>
      </c>
      <c r="K25" s="1" t="str">
        <v>Espárragos verdes</v>
      </c>
      <c r="L25" s="1" t="str">
        <v>Cebolla</v>
      </c>
      <c r="M25" s="1" t="str">
        <v>Cebolleta</v>
      </c>
      <c r="N25" s="1" t="str">
        <v>Fresas</v>
      </c>
      <c r="O25" s="31" t="str">
        <v>Manteca de cerdo</v>
      </c>
      <c r="P25" s="1"/>
    </row>
    <row r="26" spans="5:16" x14ac:dyDescent="0.3">
      <c r="E26" s="1" t="str">
        <v>Puerro</v>
      </c>
      <c r="F26" s="26">
        <v>0</v>
      </c>
      <c r="G26" s="1" t="str">
        <v>Pimiento verde</v>
      </c>
      <c r="H26" s="1" t="str">
        <v>Hueso de jamón</v>
      </c>
      <c r="I26" s="1" t="str">
        <v>Pimentón</v>
      </c>
      <c r="J26" s="1" t="str">
        <v>Diente de ajo</v>
      </c>
      <c r="K26" s="1" t="str">
        <v>Espirales</v>
      </c>
      <c r="L26" s="1" t="str">
        <v>Cebolla en polvo</v>
      </c>
      <c r="M26" s="1" t="str">
        <v>Cebollino</v>
      </c>
      <c r="N26" s="1" t="str">
        <v>Galletas</v>
      </c>
      <c r="O26" s="31" t="str">
        <v>Mantequilla</v>
      </c>
      <c r="P26" s="1"/>
    </row>
    <row r="27" spans="5:16" x14ac:dyDescent="0.3">
      <c r="E27" s="1" t="str">
        <v>Rama de apio</v>
      </c>
      <c r="F27" s="26"/>
      <c r="G27" s="1" t="str">
        <v>Puerro</v>
      </c>
      <c r="H27" s="1" t="str">
        <v>Jamón</v>
      </c>
      <c r="I27" s="1" t="str">
        <v>Pimienta</v>
      </c>
      <c r="J27" s="1" t="str">
        <v>Espinacas</v>
      </c>
      <c r="K27" s="1" t="str">
        <v>Fettuccini</v>
      </c>
      <c r="L27" s="1" t="str">
        <v>Cebolleta</v>
      </c>
      <c r="M27" s="1" t="str">
        <v>Chalota</v>
      </c>
      <c r="N27" s="1" t="str">
        <v>Galletas rectangulares</v>
      </c>
      <c r="O27" s="31" t="str">
        <v>Masa madre</v>
      </c>
      <c r="P27" s="1"/>
    </row>
    <row r="28" spans="5:16" x14ac:dyDescent="0.3">
      <c r="E28" s="1" t="str">
        <v>Sal</v>
      </c>
      <c r="F28" s="26"/>
      <c r="G28" s="1" t="str">
        <v>Queso azul</v>
      </c>
      <c r="H28" s="1" t="str">
        <v>Laurel</v>
      </c>
      <c r="I28" s="1" t="str">
        <v>Pimiento verde</v>
      </c>
      <c r="J28" s="1" t="str">
        <v>Gamba</v>
      </c>
      <c r="K28" s="1" t="str">
        <v>Fiedos</v>
      </c>
      <c r="L28" s="1" t="str">
        <v>Champiñón</v>
      </c>
      <c r="M28" s="1" t="str">
        <v>Cuscús precocido</v>
      </c>
      <c r="N28" s="1" t="str">
        <v>Gotas de cuajo líquido de farmacia</v>
      </c>
      <c r="O28" s="31" t="str">
        <v>Miel</v>
      </c>
      <c r="P28" s="1"/>
    </row>
    <row r="29" spans="5:16" x14ac:dyDescent="0.3">
      <c r="E29" s="1" t="str">
        <v>Salsa de soja</v>
      </c>
      <c r="F29" s="26"/>
      <c r="G29" s="1" t="str">
        <v>Queso rallado</v>
      </c>
      <c r="H29" s="1" t="str">
        <v>Lentejas</v>
      </c>
      <c r="I29" s="1" t="str">
        <v>Queso</v>
      </c>
      <c r="J29" s="1" t="str">
        <v>Gamba cocida</v>
      </c>
      <c r="K29" s="1" t="str">
        <v>Filetes de anchoas</v>
      </c>
      <c r="L29" s="1" t="str">
        <v>Coles de bruselas</v>
      </c>
      <c r="M29" s="1" t="str">
        <v>Diente de ajo</v>
      </c>
      <c r="N29" s="1" t="str">
        <v>Harina</v>
      </c>
      <c r="O29" s="31" t="str">
        <v>Nata</v>
      </c>
      <c r="P29" s="1"/>
    </row>
    <row r="30" spans="5:16" x14ac:dyDescent="0.3">
      <c r="E30" s="1" t="str">
        <v>Tapioca</v>
      </c>
      <c r="F30" s="26"/>
      <c r="G30" s="1" t="str">
        <v>Sal</v>
      </c>
      <c r="H30" s="1" t="str">
        <v>Limón</v>
      </c>
      <c r="I30" s="1" t="str">
        <v>Queso gratinar</v>
      </c>
      <c r="J30" s="1" t="str">
        <v>Garbanzos</v>
      </c>
      <c r="K30" s="1" t="str">
        <v>Guisantes</v>
      </c>
      <c r="L30" s="1" t="str">
        <v>Comino</v>
      </c>
      <c r="M30" s="1" t="str">
        <v>Eneldo</v>
      </c>
      <c r="N30" s="1" t="str">
        <v>Harina de maíz</v>
      </c>
      <c r="O30" s="31" t="str">
        <v>Panceta</v>
      </c>
      <c r="P30" s="1"/>
    </row>
    <row r="31" spans="5:16" x14ac:dyDescent="0.3">
      <c r="E31" s="1" t="str">
        <v>Tomate pera</v>
      </c>
      <c r="F31" s="26"/>
      <c r="G31" s="1" t="str">
        <v>Tomate frito</v>
      </c>
      <c r="H31" s="1" t="str">
        <v>Morcilla de verduras</v>
      </c>
      <c r="I31" s="1" t="str">
        <v>Rebanada de pan</v>
      </c>
      <c r="J31" s="1" t="str">
        <v>Guisantes</v>
      </c>
      <c r="K31" s="1" t="str">
        <v>Harina</v>
      </c>
      <c r="L31" s="1" t="str">
        <v>Costilla de cerdo</v>
      </c>
      <c r="M31" s="1" t="str">
        <v>Espárragos verdes</v>
      </c>
      <c r="N31" s="1" t="str">
        <v>Helado</v>
      </c>
      <c r="O31" s="31" t="str">
        <v>Perejil</v>
      </c>
      <c r="P31" s="1"/>
    </row>
    <row r="32" spans="5:16" x14ac:dyDescent="0.3">
      <c r="E32" s="1" t="str">
        <v>Vinagre blanco</v>
      </c>
      <c r="F32" s="26"/>
      <c r="G32" s="1" t="str">
        <v>Vino blanco</v>
      </c>
      <c r="H32" s="1" t="str">
        <v>Panceta</v>
      </c>
      <c r="I32" s="1" t="str">
        <v>Sal</v>
      </c>
      <c r="J32" s="1" t="str">
        <v>Huevo</v>
      </c>
      <c r="K32" s="1" t="str">
        <v>Huevo</v>
      </c>
      <c r="L32" s="1" t="str">
        <v>Curry</v>
      </c>
      <c r="M32" s="1" t="str">
        <v>Estragón</v>
      </c>
      <c r="N32" s="1" t="str">
        <v>Helado de vainilla</v>
      </c>
      <c r="O32" s="31" t="str">
        <v>Pimentón</v>
      </c>
      <c r="P32" s="1"/>
    </row>
    <row r="33" spans="5:16" x14ac:dyDescent="0.3">
      <c r="E33" s="1" t="str">
        <v>Zanahoria</v>
      </c>
      <c r="F33" s="26"/>
      <c r="G33" s="1" t="str">
        <v>Zanahoria</v>
      </c>
      <c r="H33" s="1" t="str">
        <v>Patata</v>
      </c>
      <c r="I33" s="1" t="str">
        <v>Vinagre</v>
      </c>
      <c r="J33" s="1" t="str">
        <v>Jamón</v>
      </c>
      <c r="K33" s="1" t="str">
        <v>Jamón serrano</v>
      </c>
      <c r="L33" s="1" t="str">
        <v>Diente de ajo</v>
      </c>
      <c r="M33" s="1" t="str">
        <v>Guindillas</v>
      </c>
      <c r="N33" s="1" t="str">
        <v>Huevo</v>
      </c>
      <c r="O33" s="31" t="str">
        <v>Pimienta</v>
      </c>
      <c r="P33" s="1"/>
    </row>
    <row r="34" spans="5:16" x14ac:dyDescent="0.3">
      <c r="E34" s="1" t="str">
        <v>Zancarrón</v>
      </c>
      <c r="F34" s="26"/>
      <c r="G34" s="1">
        <v>0</v>
      </c>
      <c r="H34" s="1" t="str">
        <v>Perejil</v>
      </c>
      <c r="I34" s="1">
        <v>0</v>
      </c>
      <c r="J34" s="1" t="str">
        <v>Jamón cocido</v>
      </c>
      <c r="K34" s="1" t="str">
        <v>Láminas de lasaña</v>
      </c>
      <c r="L34" s="1" t="str">
        <v>Escarola</v>
      </c>
      <c r="M34" s="1" t="str">
        <v>Gulas</v>
      </c>
      <c r="N34" s="1" t="str">
        <v>Lámina hojaldre</v>
      </c>
      <c r="O34" s="31" t="str">
        <v>Pimiento rojo</v>
      </c>
      <c r="P34" s="1"/>
    </row>
    <row r="35" spans="5:16" x14ac:dyDescent="0.3">
      <c r="E35" s="1">
        <v>0</v>
      </c>
      <c r="F35" s="26"/>
      <c r="G35" s="1"/>
      <c r="H35" s="1" t="str">
        <v>Pimentón</v>
      </c>
      <c r="I35" s="1"/>
      <c r="J35" s="1" t="str">
        <v>Leche</v>
      </c>
      <c r="K35" s="1" t="str">
        <v>Láminas para canelones</v>
      </c>
      <c r="L35" s="1" t="str">
        <v>Harina</v>
      </c>
      <c r="M35" s="1" t="str">
        <v>Harina</v>
      </c>
      <c r="N35" s="1" t="str">
        <v>Leche</v>
      </c>
      <c r="O35" s="31" t="str">
        <v>Pimiento verde</v>
      </c>
      <c r="P35" s="1"/>
    </row>
    <row r="36" spans="5:16" x14ac:dyDescent="0.3">
      <c r="E36" s="1"/>
      <c r="F36" s="26"/>
      <c r="G36" s="1"/>
      <c r="H36" s="1" t="str">
        <v>Pimienta</v>
      </c>
      <c r="I36" s="1"/>
      <c r="J36" s="1" t="str">
        <v>Lechuga</v>
      </c>
      <c r="K36" s="1" t="str">
        <v>Leche</v>
      </c>
      <c r="L36" s="1" t="str">
        <v>Harina de maíz</v>
      </c>
      <c r="M36" s="1" t="str">
        <v>Harina de maíz</v>
      </c>
      <c r="N36" s="1" t="str">
        <v>Leche condensada</v>
      </c>
      <c r="O36" s="31" t="str">
        <v>Queso</v>
      </c>
      <c r="P36" s="1"/>
    </row>
    <row r="37" spans="5:16" x14ac:dyDescent="0.3">
      <c r="E37" s="1"/>
      <c r="F37" s="26"/>
      <c r="G37" s="1"/>
      <c r="H37" s="1" t="str">
        <v>Pimienta negra</v>
      </c>
      <c r="I37" s="1"/>
      <c r="J37" s="1" t="str">
        <v>Lomo adobado</v>
      </c>
      <c r="K37" s="1" t="str">
        <v>Macarrones</v>
      </c>
      <c r="L37" s="1" t="str">
        <v>Hoja de col</v>
      </c>
      <c r="M37" s="1" t="str">
        <v>Harina de tempura</v>
      </c>
      <c r="N37" s="1" t="str">
        <v>Leche de oveja</v>
      </c>
      <c r="O37" s="31" t="str">
        <v>Romero</v>
      </c>
      <c r="P37" s="1"/>
    </row>
    <row r="38" spans="5:16" x14ac:dyDescent="0.3">
      <c r="E38" s="1"/>
      <c r="F38" s="26"/>
      <c r="G38" s="1"/>
      <c r="H38" s="1" t="str">
        <v>Pimiento verde</v>
      </c>
      <c r="I38" s="1"/>
      <c r="J38" s="1" t="str">
        <v>Maíz</v>
      </c>
      <c r="K38" s="1" t="str">
        <v>Mantequilla</v>
      </c>
      <c r="L38" s="1" t="str">
        <v>Huevo</v>
      </c>
      <c r="M38" s="1" t="str">
        <v>Hinojo</v>
      </c>
      <c r="N38" s="1" t="str">
        <v>Levadura</v>
      </c>
      <c r="O38" s="31" t="str">
        <v>Sal</v>
      </c>
      <c r="P38" s="1"/>
    </row>
    <row r="39" spans="5:16" x14ac:dyDescent="0.3">
      <c r="E39" s="1"/>
      <c r="F39" s="26"/>
      <c r="G39" s="1"/>
      <c r="H39" s="1" t="str">
        <v>Puerro</v>
      </c>
      <c r="I39" s="1"/>
      <c r="J39" s="1" t="str">
        <v>Mezcla rebozar</v>
      </c>
      <c r="K39" s="1" t="str">
        <v>Merluza</v>
      </c>
      <c r="L39" s="1" t="str">
        <v>Jarrete de cordero</v>
      </c>
      <c r="M39" s="1" t="str">
        <v>Hojas de lechuga</v>
      </c>
      <c r="N39" s="1" t="str">
        <v>Mantequilla</v>
      </c>
      <c r="O39" s="31" t="str">
        <v>Tomate</v>
      </c>
      <c r="P39" s="1"/>
    </row>
    <row r="40" spans="5:16" x14ac:dyDescent="0.3">
      <c r="E40" s="1"/>
      <c r="F40" s="26"/>
      <c r="G40" s="1"/>
      <c r="H40" s="1" t="str">
        <v>Ralladura de limón</v>
      </c>
      <c r="I40" s="1"/>
      <c r="J40" s="1" t="str">
        <v>Muslo de pollo</v>
      </c>
      <c r="K40" s="1" t="str">
        <v>Muslo de pollo deshuesado</v>
      </c>
      <c r="L40" s="1" t="str">
        <v>Jengibre</v>
      </c>
      <c r="M40" s="1" t="str">
        <v>Huevo</v>
      </c>
      <c r="N40" s="1" t="str">
        <v>Manzana</v>
      </c>
      <c r="O40" s="31" t="str">
        <v>Tomates cherry</v>
      </c>
      <c r="P40" s="1"/>
    </row>
    <row r="41" spans="5:16" x14ac:dyDescent="0.3">
      <c r="E41" s="1"/>
      <c r="F41" s="26"/>
      <c r="G41" s="1"/>
      <c r="H41" s="1" t="str">
        <v>Sal</v>
      </c>
      <c r="I41" s="1"/>
      <c r="J41" s="1" t="str">
        <v>Panceta</v>
      </c>
      <c r="K41" s="1" t="str">
        <v>Nata líquida</v>
      </c>
      <c r="L41" s="1" t="str">
        <v>Judías verdes</v>
      </c>
      <c r="M41" s="1" t="str">
        <v>Jengibre</v>
      </c>
      <c r="N41" s="1" t="str">
        <v>Menta</v>
      </c>
      <c r="O41" s="31" t="str">
        <v>Tomates pera</v>
      </c>
      <c r="P41" s="1"/>
    </row>
    <row r="42" spans="5:16" x14ac:dyDescent="0.3">
      <c r="E42" s="1"/>
      <c r="F42" s="26"/>
      <c r="G42" s="1"/>
      <c r="H42" s="1" t="str">
        <v>Tomate</v>
      </c>
      <c r="I42" s="1"/>
      <c r="J42" s="1" t="str">
        <v>Panceta gruesa</v>
      </c>
      <c r="K42" s="1" t="str">
        <v>Nuez moscada</v>
      </c>
      <c r="L42" s="1" t="str">
        <v>Lagarto de cedo</v>
      </c>
      <c r="M42" s="1" t="str">
        <v>Láminas hojaldre</v>
      </c>
      <c r="N42" s="1" t="str">
        <v>Mermelada de albaricoque</v>
      </c>
      <c r="O42" s="31" t="str">
        <v>Yema de huevo</v>
      </c>
      <c r="P42" s="1"/>
    </row>
    <row r="43" spans="5:16" x14ac:dyDescent="0.3">
      <c r="E43" s="1"/>
      <c r="F43" s="26"/>
      <c r="G43" s="1"/>
      <c r="H43" s="1" t="str">
        <v>Tomate frito</v>
      </c>
      <c r="I43" s="1"/>
      <c r="J43" s="1" t="str">
        <v>Pastilla de caldo de pollo</v>
      </c>
      <c r="K43" s="1" t="str">
        <v>Orégano</v>
      </c>
      <c r="L43" s="1" t="str">
        <v>Laurel</v>
      </c>
      <c r="M43" s="1" t="str">
        <v>Laurel</v>
      </c>
      <c r="N43" s="1" t="str">
        <v>Naranja</v>
      </c>
      <c r="O43" s="31">
        <v>0</v>
      </c>
      <c r="P43" s="1"/>
    </row>
    <row r="44" spans="5:16" x14ac:dyDescent="0.3">
      <c r="E44" s="27"/>
      <c r="F44" s="26"/>
      <c r="G44" s="1"/>
      <c r="H44" s="1" t="str">
        <v>Vino blanco</v>
      </c>
      <c r="I44" s="1"/>
      <c r="J44" s="1" t="str">
        <v>Patata</v>
      </c>
      <c r="K44" s="1" t="str">
        <v>Panceta</v>
      </c>
      <c r="L44" s="1" t="str">
        <v>Leche</v>
      </c>
      <c r="M44" s="1" t="str">
        <v>Leche</v>
      </c>
      <c r="N44" s="1" t="str">
        <v>Nata</v>
      </c>
      <c r="O44" s="31"/>
      <c r="P44" s="26"/>
    </row>
    <row r="45" spans="5:16" x14ac:dyDescent="0.3">
      <c r="E45" s="27"/>
      <c r="F45" s="26"/>
      <c r="G45" s="1"/>
      <c r="H45" s="1" t="str">
        <v>Yogur griego natural</v>
      </c>
      <c r="I45" s="1"/>
      <c r="J45" s="1" t="str">
        <v>Pechuga de pollo</v>
      </c>
      <c r="K45" s="1" t="str">
        <v>Paté</v>
      </c>
      <c r="L45" s="1" t="str">
        <v>Limón</v>
      </c>
      <c r="M45" s="1" t="str">
        <v>Levadura</v>
      </c>
      <c r="N45" s="1" t="str">
        <v>Nata líquida</v>
      </c>
      <c r="O45" s="31"/>
      <c r="P45" s="26"/>
    </row>
    <row r="46" spans="5:16" x14ac:dyDescent="0.3">
      <c r="E46" s="27"/>
      <c r="F46" s="26"/>
      <c r="G46" s="1"/>
      <c r="H46" s="1" t="str">
        <v>Zanahoria</v>
      </c>
      <c r="I46" s="1"/>
      <c r="J46" s="1" t="str">
        <v>Perejil</v>
      </c>
      <c r="K46" s="1" t="str">
        <v>Pechuga de pollo</v>
      </c>
      <c r="L46" s="1" t="str">
        <v>Mango maduro</v>
      </c>
      <c r="M46" s="1" t="str">
        <v>Limón</v>
      </c>
      <c r="N46" s="1" t="str">
        <v>Nata montada</v>
      </c>
      <c r="O46" s="31"/>
      <c r="P46" s="26"/>
    </row>
    <row r="47" spans="5:16" x14ac:dyDescent="0.3">
      <c r="E47" s="27"/>
      <c r="F47" s="26"/>
      <c r="G47" s="1"/>
      <c r="H47" s="1">
        <v>0</v>
      </c>
      <c r="I47" s="1"/>
      <c r="J47" s="1" t="str">
        <v>Pimentón</v>
      </c>
      <c r="K47" s="1" t="str">
        <v>Perejil</v>
      </c>
      <c r="L47" s="1" t="str">
        <v>Mantequilla</v>
      </c>
      <c r="M47" s="1" t="str">
        <v>Manzana</v>
      </c>
      <c r="N47" s="1" t="str">
        <v>Nata para montar</v>
      </c>
      <c r="O47" s="31"/>
      <c r="P47" s="26"/>
    </row>
    <row r="48" spans="5:16" x14ac:dyDescent="0.3">
      <c r="E48" s="27"/>
      <c r="F48" s="26"/>
      <c r="G48" s="1"/>
      <c r="H48" s="1"/>
      <c r="I48" s="1"/>
      <c r="J48" s="1" t="str">
        <v>Pimienta</v>
      </c>
      <c r="K48" s="1" t="str">
        <v>Pimentón</v>
      </c>
      <c r="L48" s="1" t="str">
        <v>Miga de pan</v>
      </c>
      <c r="M48" s="1" t="str">
        <v>Matequilla</v>
      </c>
      <c r="N48" s="1" t="str">
        <v>Nueces de macadamia</v>
      </c>
      <c r="O48" s="31"/>
      <c r="P48" s="26"/>
    </row>
    <row r="49" spans="5:16" x14ac:dyDescent="0.3">
      <c r="E49" s="27"/>
      <c r="F49" s="26"/>
      <c r="G49" s="1"/>
      <c r="H49" s="1"/>
      <c r="I49" s="1"/>
      <c r="J49" s="1" t="str">
        <v>Pimiento rojo</v>
      </c>
      <c r="K49" s="1" t="str">
        <v>Pimienta</v>
      </c>
      <c r="L49" s="1" t="str">
        <v>Mirin</v>
      </c>
      <c r="M49" s="1" t="str">
        <v>Mayonesa</v>
      </c>
      <c r="N49" s="1" t="str">
        <v>Peras</v>
      </c>
      <c r="O49" s="31"/>
      <c r="P49" s="26"/>
    </row>
    <row r="50" spans="5:16" x14ac:dyDescent="0.3">
      <c r="E50" s="27"/>
      <c r="F50" s="26"/>
      <c r="G50" s="1"/>
      <c r="H50" s="1"/>
      <c r="I50" s="1"/>
      <c r="J50" s="1" t="str">
        <v>Pimiento verde</v>
      </c>
      <c r="K50" s="1" t="str">
        <v>Pimiento rojo</v>
      </c>
      <c r="L50" s="1" t="str">
        <v>Muslo de pavo</v>
      </c>
      <c r="M50" s="1" t="str">
        <v>Merluza</v>
      </c>
      <c r="N50" s="1" t="str">
        <v>Plátano</v>
      </c>
      <c r="O50" s="31"/>
      <c r="P50" s="26"/>
    </row>
    <row r="51" spans="5:16" x14ac:dyDescent="0.3">
      <c r="E51" s="27"/>
      <c r="F51" s="26"/>
      <c r="G51" s="1"/>
      <c r="H51" s="1"/>
      <c r="I51" s="1"/>
      <c r="J51" s="1" t="str">
        <v>Pimientos del piquillo</v>
      </c>
      <c r="K51" s="1" t="str">
        <v>Pimiento verde</v>
      </c>
      <c r="L51" s="1" t="str">
        <v>Nata líquida</v>
      </c>
      <c r="M51" s="1" t="str">
        <v>Mirin</v>
      </c>
      <c r="N51" s="1" t="str">
        <v>Queso crema</v>
      </c>
      <c r="O51" s="31"/>
      <c r="P51" s="26"/>
    </row>
    <row r="52" spans="5:16" x14ac:dyDescent="0.3">
      <c r="E52" s="27"/>
      <c r="F52" s="26"/>
      <c r="G52" s="1"/>
      <c r="H52" s="1"/>
      <c r="I52" s="1"/>
      <c r="J52" s="1" t="str">
        <v>Pollo</v>
      </c>
      <c r="K52" s="1" t="str">
        <v>Puerro</v>
      </c>
      <c r="L52" s="1" t="str">
        <v>Nuez moscada</v>
      </c>
      <c r="M52" s="1" t="str">
        <v>Mostaza</v>
      </c>
      <c r="N52" s="1" t="str">
        <v>Queso cremoso</v>
      </c>
      <c r="O52" s="31"/>
      <c r="P52" s="26"/>
    </row>
    <row r="53" spans="5:16" x14ac:dyDescent="0.3">
      <c r="E53" s="27"/>
      <c r="F53" s="26"/>
      <c r="G53" s="1"/>
      <c r="H53" s="1"/>
      <c r="I53" s="1"/>
      <c r="J53" s="1" t="str">
        <v>Puerro</v>
      </c>
      <c r="K53" s="1" t="str">
        <v>Queso curado de oveja</v>
      </c>
      <c r="L53" s="1" t="str">
        <v>Orégano</v>
      </c>
      <c r="M53" s="1" t="str">
        <v>Nata líquida</v>
      </c>
      <c r="N53" s="1" t="str">
        <v>Queso mascarpone</v>
      </c>
      <c r="O53" s="31"/>
      <c r="P53" s="26"/>
    </row>
    <row r="54" spans="5:16" x14ac:dyDescent="0.3">
      <c r="E54" s="27"/>
      <c r="F54" s="26"/>
      <c r="G54" s="1"/>
      <c r="H54" s="1"/>
      <c r="I54" s="1"/>
      <c r="J54" s="1" t="str">
        <v>Queso rallado</v>
      </c>
      <c r="K54" s="1" t="str">
        <v>Queso en polvo</v>
      </c>
      <c r="L54" s="1" t="str">
        <v>Pan rallado</v>
      </c>
      <c r="M54" s="1" t="str">
        <v>Orégano</v>
      </c>
      <c r="N54" s="1" t="str">
        <v>Ralladura de lima</v>
      </c>
      <c r="O54" s="31"/>
      <c r="P54" s="26"/>
    </row>
    <row r="55" spans="5:16" x14ac:dyDescent="0.3">
      <c r="E55" s="27"/>
      <c r="F55" s="26"/>
      <c r="G55" s="1"/>
      <c r="H55" s="1"/>
      <c r="I55" s="1"/>
      <c r="J55" s="1" t="str">
        <v>Sal</v>
      </c>
      <c r="K55" s="1" t="str">
        <v>Queso parmesano</v>
      </c>
      <c r="L55" s="1" t="str">
        <v>Panceta</v>
      </c>
      <c r="M55" s="1" t="str">
        <v>Pan hamburguesa</v>
      </c>
      <c r="N55" s="1" t="str">
        <v>Rebanada de pan</v>
      </c>
      <c r="O55" s="31"/>
      <c r="P55" s="26"/>
    </row>
    <row r="56" spans="5:16" x14ac:dyDescent="0.3">
      <c r="E56" s="27"/>
      <c r="F56" s="26"/>
      <c r="G56" s="1"/>
      <c r="H56" s="1"/>
      <c r="I56" s="1"/>
      <c r="J56" s="1" t="str">
        <v>Salsa de soja</v>
      </c>
      <c r="K56" s="1" t="str">
        <v>Queso rallado</v>
      </c>
      <c r="L56" s="1" t="str">
        <v>Patata</v>
      </c>
      <c r="M56" s="1" t="str">
        <v>Patata</v>
      </c>
      <c r="N56" s="1" t="str">
        <v>Sal</v>
      </c>
      <c r="O56" s="31"/>
      <c r="P56" s="26"/>
    </row>
    <row r="57" spans="5:16" x14ac:dyDescent="0.3">
      <c r="E57" s="27"/>
      <c r="F57" s="26"/>
      <c r="G57" s="1"/>
      <c r="H57" s="1"/>
      <c r="I57" s="1"/>
      <c r="J57" s="1" t="str">
        <v>Solomillo de cerdo</v>
      </c>
      <c r="K57" s="1" t="str">
        <v>Rigatoni</v>
      </c>
      <c r="L57" s="1" t="str">
        <v>Pechuga de pavo</v>
      </c>
      <c r="M57" s="1" t="str">
        <v>Pepinillos</v>
      </c>
      <c r="N57" s="1" t="str">
        <v>Vainilla</v>
      </c>
      <c r="O57" s="31"/>
      <c r="P57" s="26"/>
    </row>
    <row r="58" spans="5:16" x14ac:dyDescent="0.3">
      <c r="E58" s="27"/>
      <c r="F58" s="26"/>
      <c r="G58" s="1"/>
      <c r="H58" s="1"/>
      <c r="I58" s="1"/>
      <c r="J58" s="1" t="str">
        <v>Tomate</v>
      </c>
      <c r="K58" s="1" t="str">
        <v>Sal</v>
      </c>
      <c r="L58" s="1" t="str">
        <v>Pechuga de pollo</v>
      </c>
      <c r="M58" s="1" t="str">
        <v>Perejil</v>
      </c>
      <c r="N58" s="1" t="str">
        <v>Vino de oporto</v>
      </c>
      <c r="O58" s="31"/>
      <c r="P58" s="26"/>
    </row>
    <row r="59" spans="5:16" x14ac:dyDescent="0.3">
      <c r="E59" s="27"/>
      <c r="F59" s="26"/>
      <c r="G59" s="1"/>
      <c r="H59" s="1"/>
      <c r="I59" s="1"/>
      <c r="J59" s="1" t="str">
        <v>Tomate frito</v>
      </c>
      <c r="K59" s="1" t="str">
        <v>Salmón</v>
      </c>
      <c r="L59" s="1" t="str">
        <v>Pedro Ximénez</v>
      </c>
      <c r="M59" s="1" t="str">
        <v>Pimentón</v>
      </c>
      <c r="N59" s="1" t="str">
        <v>Yema de huevo</v>
      </c>
      <c r="O59" s="31"/>
      <c r="P59" s="26"/>
    </row>
    <row r="60" spans="5:16" x14ac:dyDescent="0.3">
      <c r="E60" s="27"/>
      <c r="F60" s="26"/>
      <c r="G60" s="1"/>
      <c r="H60" s="1"/>
      <c r="I60" s="1"/>
      <c r="J60" s="1" t="str">
        <v>Vinagre</v>
      </c>
      <c r="K60" s="1" t="str">
        <v>Salsa de tomate</v>
      </c>
      <c r="L60" s="1" t="str">
        <v>Perejil</v>
      </c>
      <c r="M60" s="1" t="str">
        <v>Pimentón dulce</v>
      </c>
      <c r="N60" s="1" t="str">
        <v>Yogur natural</v>
      </c>
      <c r="O60" s="31"/>
      <c r="P60" s="26"/>
    </row>
    <row r="61" spans="5:16" x14ac:dyDescent="0.3">
      <c r="E61" s="27"/>
      <c r="F61" s="26"/>
      <c r="G61" s="1"/>
      <c r="H61" s="1"/>
      <c r="I61" s="1"/>
      <c r="J61" s="1" t="str">
        <v>Zanahoria</v>
      </c>
      <c r="K61" s="1" t="str">
        <v>Setas</v>
      </c>
      <c r="L61" s="1" t="str">
        <v>Pimentón</v>
      </c>
      <c r="M61" s="1" t="str">
        <v>Pimienta</v>
      </c>
      <c r="N61" s="1" t="str">
        <v>Zumo de limón</v>
      </c>
      <c r="O61" s="31"/>
      <c r="P61" s="26"/>
    </row>
    <row r="62" spans="5:16" x14ac:dyDescent="0.3">
      <c r="E62" s="27"/>
      <c r="F62" s="26"/>
      <c r="G62" s="1"/>
      <c r="H62" s="1"/>
      <c r="I62" s="1"/>
      <c r="J62" s="1">
        <v>0</v>
      </c>
      <c r="K62" s="1" t="str">
        <v>Sofrito de tomate y cebolla</v>
      </c>
      <c r="L62" s="1" t="str">
        <v>Pimentón dulce</v>
      </c>
      <c r="M62" s="1" t="str">
        <v>Pimiento morrón</v>
      </c>
      <c r="N62" s="1">
        <v>0</v>
      </c>
      <c r="O62" s="31"/>
      <c r="P62" s="26"/>
    </row>
    <row r="63" spans="5:16" x14ac:dyDescent="0.3">
      <c r="E63" s="27"/>
      <c r="F63" s="26"/>
      <c r="G63" s="1"/>
      <c r="H63" s="1"/>
      <c r="I63" s="1"/>
      <c r="J63" s="1"/>
      <c r="K63" s="1" t="str">
        <v>Tagliatelle</v>
      </c>
      <c r="L63" s="1" t="str">
        <v>Pimienta</v>
      </c>
      <c r="M63" s="1" t="str">
        <v>Pimientos del padrón</v>
      </c>
      <c r="N63" s="1"/>
      <c r="O63" s="31"/>
      <c r="P63" s="26"/>
    </row>
    <row r="64" spans="5:16" x14ac:dyDescent="0.3">
      <c r="E64" s="27"/>
      <c r="F64" s="26"/>
      <c r="G64" s="1"/>
      <c r="H64" s="1"/>
      <c r="I64" s="1"/>
      <c r="J64" s="1"/>
      <c r="K64" s="1" t="str">
        <v>Tallarines</v>
      </c>
      <c r="L64" s="1" t="str">
        <v>Pimiento rojo</v>
      </c>
      <c r="M64" s="1" t="str">
        <v>Pimieto morrón</v>
      </c>
      <c r="N64" s="1"/>
      <c r="O64" s="31"/>
      <c r="P64" s="26"/>
    </row>
    <row r="65" spans="5:16" x14ac:dyDescent="0.3">
      <c r="E65" s="27"/>
      <c r="F65" s="26"/>
      <c r="G65" s="1"/>
      <c r="H65" s="1"/>
      <c r="I65" s="1"/>
      <c r="J65" s="1"/>
      <c r="K65" s="1" t="str">
        <v>Tomate</v>
      </c>
      <c r="L65" s="1" t="str">
        <v>Pimiento verde</v>
      </c>
      <c r="M65" s="1" t="str">
        <v>Pistacho pelado</v>
      </c>
      <c r="N65" s="1"/>
      <c r="O65" s="31"/>
      <c r="P65" s="26"/>
    </row>
    <row r="66" spans="5:16" x14ac:dyDescent="0.3">
      <c r="E66" s="27"/>
      <c r="F66" s="26"/>
      <c r="G66" s="1"/>
      <c r="H66" s="1"/>
      <c r="I66" s="1"/>
      <c r="J66" s="1"/>
      <c r="K66" s="1" t="str">
        <v>Tomate maduro</v>
      </c>
      <c r="L66" s="1" t="str">
        <v>Pimientos del piquillo</v>
      </c>
      <c r="M66" s="1" t="str">
        <v>Ralladura de limón</v>
      </c>
      <c r="N66" s="1"/>
      <c r="O66" s="31"/>
      <c r="P66" s="26"/>
    </row>
    <row r="67" spans="5:16" x14ac:dyDescent="0.3">
      <c r="E67" s="27"/>
      <c r="F67" s="26"/>
      <c r="G67" s="1"/>
      <c r="H67" s="1"/>
      <c r="I67" s="1"/>
      <c r="J67" s="1"/>
      <c r="K67" s="1" t="str">
        <v>Tomate seco</v>
      </c>
      <c r="L67" s="1" t="str">
        <v>Polenta</v>
      </c>
      <c r="M67" s="1" t="str">
        <v>Rape</v>
      </c>
      <c r="N67" s="1"/>
      <c r="O67" s="31"/>
      <c r="P67" s="26"/>
    </row>
    <row r="68" spans="5:16" x14ac:dyDescent="0.3">
      <c r="E68" s="27"/>
      <c r="F68" s="26"/>
      <c r="G68" s="1"/>
      <c r="H68" s="1"/>
      <c r="I68" s="1"/>
      <c r="J68" s="1"/>
      <c r="K68" s="1" t="str">
        <v>Tomate triturado</v>
      </c>
      <c r="L68" s="1" t="str">
        <v>Pollo</v>
      </c>
      <c r="M68" s="1" t="str">
        <v>Rebanada de pan</v>
      </c>
      <c r="N68" s="1"/>
      <c r="O68" s="31"/>
      <c r="P68" s="26"/>
    </row>
    <row r="69" spans="5:16" x14ac:dyDescent="0.3">
      <c r="E69" s="27"/>
      <c r="F69" s="26"/>
      <c r="G69" s="1"/>
      <c r="H69" s="1"/>
      <c r="I69" s="1"/>
      <c r="J69" s="1"/>
      <c r="K69" s="1" t="str">
        <v>Tomillo seco</v>
      </c>
      <c r="L69" s="1" t="str">
        <v>Puerro</v>
      </c>
      <c r="M69" s="1" t="str">
        <v>Rodajas de tomate</v>
      </c>
      <c r="N69" s="1"/>
      <c r="O69" s="31"/>
      <c r="P69" s="26"/>
    </row>
    <row r="70" spans="5:16" x14ac:dyDescent="0.3">
      <c r="E70" s="27"/>
      <c r="F70" s="26"/>
      <c r="G70" s="1"/>
      <c r="H70" s="1"/>
      <c r="I70" s="1"/>
      <c r="J70" s="1"/>
      <c r="K70" s="1" t="str">
        <v>Vino blanco</v>
      </c>
      <c r="L70" s="1" t="str">
        <v>Queso curado de oveja</v>
      </c>
      <c r="M70" s="1" t="str">
        <v>Sake</v>
      </c>
      <c r="N70" s="1"/>
      <c r="O70" s="31"/>
      <c r="P70" s="26"/>
    </row>
    <row r="71" spans="5:16" x14ac:dyDescent="0.3">
      <c r="E71" s="27"/>
      <c r="F71" s="26"/>
      <c r="G71" s="1"/>
      <c r="H71" s="1"/>
      <c r="I71" s="1"/>
      <c r="J71" s="1"/>
      <c r="K71" s="1" t="str">
        <v>Yema de huevo</v>
      </c>
      <c r="L71" s="1" t="str">
        <v>Queso rallado</v>
      </c>
      <c r="M71" s="1" t="str">
        <v>Sal</v>
      </c>
      <c r="N71" s="1"/>
      <c r="O71" s="31"/>
      <c r="P71" s="26"/>
    </row>
    <row r="72" spans="5:16" x14ac:dyDescent="0.3">
      <c r="E72" s="27"/>
      <c r="F72" s="26"/>
      <c r="G72" s="1"/>
      <c r="H72" s="1"/>
      <c r="I72" s="1"/>
      <c r="J72" s="1"/>
      <c r="K72" s="1" t="str">
        <v>Yogur natural</v>
      </c>
      <c r="L72" s="1" t="str">
        <v>Romero</v>
      </c>
      <c r="M72" s="1" t="str">
        <v>Salmón</v>
      </c>
      <c r="N72" s="1"/>
      <c r="O72" s="31"/>
      <c r="P72" s="26"/>
    </row>
    <row r="73" spans="5:16" x14ac:dyDescent="0.3">
      <c r="E73" s="27"/>
      <c r="F73" s="26"/>
      <c r="G73" s="1"/>
      <c r="H73" s="1"/>
      <c r="I73" s="1"/>
      <c r="J73" s="1"/>
      <c r="K73" s="1" t="str">
        <v>Zanahoria</v>
      </c>
      <c r="L73" s="1" t="str">
        <v>Sake</v>
      </c>
      <c r="M73" s="1" t="str">
        <v>Salmón ahumado</v>
      </c>
      <c r="N73" s="1"/>
      <c r="O73" s="31"/>
      <c r="P73" s="26"/>
    </row>
    <row r="74" spans="5:16" x14ac:dyDescent="0.3">
      <c r="E74" s="27"/>
      <c r="F74" s="26"/>
      <c r="G74" s="1"/>
      <c r="H74" s="1"/>
      <c r="I74" s="1"/>
      <c r="J74" s="1"/>
      <c r="K74" s="1">
        <v>0</v>
      </c>
      <c r="L74" s="1" t="str">
        <v>Sal</v>
      </c>
      <c r="M74" s="1" t="str">
        <v>Salmonete</v>
      </c>
      <c r="N74" s="1"/>
      <c r="O74" s="31"/>
      <c r="P74" s="26"/>
    </row>
    <row r="75" spans="5:16" x14ac:dyDescent="0.3">
      <c r="E75" s="27"/>
      <c r="F75" s="26"/>
      <c r="G75" s="1"/>
      <c r="H75" s="1"/>
      <c r="I75" s="1"/>
      <c r="J75" s="1"/>
      <c r="K75" s="1"/>
      <c r="L75" s="1" t="str">
        <v>Salsa de soja</v>
      </c>
      <c r="M75" s="1" t="str">
        <v>Salsa de soja</v>
      </c>
      <c r="N75" s="1"/>
      <c r="O75" s="31"/>
      <c r="P75" s="26"/>
    </row>
    <row r="76" spans="5:16" x14ac:dyDescent="0.3">
      <c r="E76" s="27"/>
      <c r="F76" s="26"/>
      <c r="G76" s="1"/>
      <c r="H76" s="1"/>
      <c r="I76" s="1"/>
      <c r="J76" s="1"/>
      <c r="K76" s="1"/>
      <c r="L76" s="1" t="str">
        <v>Salsa de tomate</v>
      </c>
      <c r="M76" s="1" t="str">
        <v>Salsa de tomate</v>
      </c>
      <c r="N76" s="1"/>
      <c r="O76" s="31"/>
      <c r="P76" s="26"/>
    </row>
    <row r="77" spans="5:16" x14ac:dyDescent="0.3">
      <c r="E77" s="27"/>
      <c r="F77" s="26"/>
      <c r="G77" s="1"/>
      <c r="H77" s="1"/>
      <c r="I77" s="1"/>
      <c r="J77" s="1"/>
      <c r="K77" s="1"/>
      <c r="L77" s="1" t="str">
        <v>Sidra</v>
      </c>
      <c r="M77" s="1" t="str">
        <v>Sidra</v>
      </c>
      <c r="N77" s="1"/>
      <c r="O77" s="31"/>
      <c r="P77" s="26"/>
    </row>
    <row r="78" spans="5:16" x14ac:dyDescent="0.3">
      <c r="E78" s="27"/>
      <c r="F78" s="26"/>
      <c r="G78" s="1"/>
      <c r="H78" s="1"/>
      <c r="I78" s="1"/>
      <c r="J78" s="1"/>
      <c r="K78" s="1"/>
      <c r="L78" s="1" t="str">
        <v>Sofrito de tomate y cebolla</v>
      </c>
      <c r="M78" s="1" t="str">
        <v>Tomate maduro</v>
      </c>
      <c r="N78" s="1"/>
      <c r="O78" s="31"/>
      <c r="P78" s="26"/>
    </row>
    <row r="79" spans="5:16" x14ac:dyDescent="0.3">
      <c r="E79" s="27"/>
      <c r="F79" s="26"/>
      <c r="G79" s="1"/>
      <c r="H79" s="1"/>
      <c r="I79" s="1"/>
      <c r="J79" s="1"/>
      <c r="K79" s="1"/>
      <c r="L79" s="1" t="str">
        <v>Ternera</v>
      </c>
      <c r="M79" s="1" t="str">
        <v>Tomillo</v>
      </c>
      <c r="N79" s="1"/>
      <c r="O79" s="31"/>
      <c r="P79" s="26"/>
    </row>
    <row r="80" spans="5:16" x14ac:dyDescent="0.3">
      <c r="E80" s="27"/>
      <c r="F80" s="26"/>
      <c r="G80" s="1"/>
      <c r="H80" s="1"/>
      <c r="I80" s="1"/>
      <c r="J80" s="1"/>
      <c r="K80" s="1"/>
      <c r="L80" s="1" t="str">
        <v>Tomate</v>
      </c>
      <c r="M80" s="1" t="str">
        <v>Vermut blanco</v>
      </c>
      <c r="N80" s="1"/>
      <c r="O80" s="31"/>
      <c r="P80" s="26"/>
    </row>
    <row r="81" spans="5:16" x14ac:dyDescent="0.3">
      <c r="E81" s="27"/>
      <c r="F81" s="26"/>
      <c r="G81" s="1"/>
      <c r="H81" s="1"/>
      <c r="I81" s="1"/>
      <c r="J81" s="1"/>
      <c r="K81" s="1"/>
      <c r="L81" s="1" t="str">
        <v>Tomate concentrado</v>
      </c>
      <c r="M81" s="1" t="str">
        <v>Vinagre</v>
      </c>
      <c r="N81" s="1"/>
      <c r="O81" s="31"/>
      <c r="P81" s="26"/>
    </row>
    <row r="82" spans="5:16" x14ac:dyDescent="0.3">
      <c r="E82" s="27"/>
      <c r="F82" s="26"/>
      <c r="G82" s="1"/>
      <c r="H82" s="1"/>
      <c r="I82" s="1"/>
      <c r="J82" s="1"/>
      <c r="K82" s="1"/>
      <c r="L82" s="1" t="str">
        <v>Tomate maduro</v>
      </c>
      <c r="M82" s="1" t="str">
        <v>Vinagre blanco</v>
      </c>
      <c r="N82" s="1"/>
      <c r="O82" s="31"/>
      <c r="P82" s="26"/>
    </row>
    <row r="83" spans="5:16" x14ac:dyDescent="0.3">
      <c r="E83" s="27"/>
      <c r="F83" s="26"/>
      <c r="G83" s="1"/>
      <c r="H83" s="1"/>
      <c r="I83" s="1"/>
      <c r="J83" s="1"/>
      <c r="K83" s="1"/>
      <c r="L83" s="1" t="str">
        <v>Tomate triturado</v>
      </c>
      <c r="M83" s="1" t="str">
        <v>Vinagre de módena</v>
      </c>
      <c r="N83" s="1"/>
      <c r="O83" s="31"/>
      <c r="P83" s="26"/>
    </row>
    <row r="84" spans="5:16" x14ac:dyDescent="0.3">
      <c r="E84" s="27"/>
      <c r="F84" s="26"/>
      <c r="G84" s="1"/>
      <c r="H84" s="1"/>
      <c r="I84" s="1"/>
      <c r="J84" s="1"/>
      <c r="K84" s="1"/>
      <c r="L84" s="1" t="str">
        <v>Tomillo</v>
      </c>
      <c r="M84" s="1" t="str">
        <v>Vino blanco</v>
      </c>
      <c r="N84" s="1"/>
      <c r="O84" s="31"/>
      <c r="P84" s="26"/>
    </row>
    <row r="85" spans="5:16" x14ac:dyDescent="0.3">
      <c r="E85" s="27"/>
      <c r="F85" s="26"/>
      <c r="G85" s="1"/>
      <c r="H85" s="1"/>
      <c r="I85" s="1"/>
      <c r="J85" s="1"/>
      <c r="K85" s="1"/>
      <c r="L85" s="1" t="str">
        <v>Vinagre</v>
      </c>
      <c r="M85" s="1" t="str">
        <v>Yogur natural</v>
      </c>
      <c r="N85" s="1"/>
      <c r="O85" s="31"/>
      <c r="P85" s="26"/>
    </row>
    <row r="86" spans="5:16" x14ac:dyDescent="0.3">
      <c r="E86" s="27"/>
      <c r="F86" s="26"/>
      <c r="G86" s="1"/>
      <c r="H86" s="1"/>
      <c r="I86" s="1"/>
      <c r="J86" s="1"/>
      <c r="K86" s="1"/>
      <c r="L86" s="1" t="str">
        <v>Vino blanco</v>
      </c>
      <c r="M86" s="1" t="str">
        <v>Zanahoria</v>
      </c>
      <c r="N86" s="1"/>
      <c r="O86" s="31"/>
      <c r="P86" s="26"/>
    </row>
    <row r="87" spans="5:16" x14ac:dyDescent="0.3">
      <c r="E87" s="27"/>
      <c r="F87" s="26"/>
      <c r="G87" s="1"/>
      <c r="H87" s="1"/>
      <c r="I87" s="1"/>
      <c r="J87" s="1"/>
      <c r="K87" s="1"/>
      <c r="L87" s="1" t="str">
        <v>Vino de oporto</v>
      </c>
      <c r="M87" s="1">
        <v>0</v>
      </c>
      <c r="N87" s="1"/>
      <c r="O87" s="31"/>
      <c r="P87" s="26"/>
    </row>
    <row r="88" spans="5:16" x14ac:dyDescent="0.3">
      <c r="E88" s="27"/>
      <c r="F88" s="26"/>
      <c r="G88" s="1"/>
      <c r="H88" s="1"/>
      <c r="I88" s="1"/>
      <c r="J88" s="1"/>
      <c r="K88" s="1"/>
      <c r="L88" s="1" t="str">
        <v>Vino tinto</v>
      </c>
      <c r="M88" s="1"/>
      <c r="N88" s="1"/>
      <c r="O88" s="31"/>
      <c r="P88" s="26"/>
    </row>
    <row r="89" spans="5:16" x14ac:dyDescent="0.3">
      <c r="E89" s="27"/>
      <c r="F89" s="26"/>
      <c r="G89" s="1"/>
      <c r="H89" s="1"/>
      <c r="I89" s="1"/>
      <c r="J89" s="1"/>
      <c r="K89" s="1"/>
      <c r="L89" s="1" t="str">
        <v>Yema de huevo</v>
      </c>
      <c r="M89" s="1"/>
      <c r="N89" s="1"/>
      <c r="O89" s="31"/>
      <c r="P89" s="26"/>
    </row>
    <row r="90" spans="5:16" x14ac:dyDescent="0.3">
      <c r="E90" s="27"/>
      <c r="F90" s="26"/>
      <c r="G90" s="1"/>
      <c r="H90" s="1"/>
      <c r="I90" s="1"/>
      <c r="J90" s="1"/>
      <c r="K90" s="1"/>
      <c r="L90" s="1" t="str">
        <v>Zanahoria</v>
      </c>
      <c r="M90" s="1"/>
      <c r="N90" s="1"/>
      <c r="O90" s="31"/>
      <c r="P90" s="26"/>
    </row>
    <row r="91" spans="5:16" x14ac:dyDescent="0.3">
      <c r="E91" s="27"/>
      <c r="F91" s="26"/>
      <c r="G91" s="1"/>
      <c r="H91" s="1"/>
      <c r="I91" s="1"/>
      <c r="J91" s="1"/>
      <c r="K91" s="1"/>
      <c r="L91" s="1">
        <v>0</v>
      </c>
      <c r="M91" s="1"/>
      <c r="N91" s="1"/>
      <c r="O91" s="31"/>
      <c r="P91" s="26"/>
    </row>
    <row r="92" spans="5:16" x14ac:dyDescent="0.3">
      <c r="E92" s="27"/>
      <c r="F92" s="26"/>
      <c r="G92" s="1"/>
      <c r="H92" s="1"/>
      <c r="I92" s="1"/>
      <c r="J92" s="1"/>
      <c r="K92" s="1"/>
      <c r="L92" s="1"/>
      <c r="M92" s="1"/>
      <c r="N92" s="1"/>
      <c r="O92" s="31"/>
      <c r="P92" s="26"/>
    </row>
    <row r="93" spans="5:16" x14ac:dyDescent="0.3">
      <c r="E93" s="27"/>
      <c r="F93" s="26"/>
      <c r="G93" s="1"/>
      <c r="H93" s="1"/>
      <c r="I93" s="1"/>
      <c r="J93" s="1"/>
      <c r="K93" s="1"/>
      <c r="L93" s="1"/>
      <c r="M93" s="1"/>
      <c r="N93" s="1"/>
      <c r="O93" s="31"/>
      <c r="P93" s="26"/>
    </row>
    <row r="94" spans="5:16" x14ac:dyDescent="0.3">
      <c r="E94" s="27"/>
      <c r="F94" s="26"/>
      <c r="G94" s="1"/>
      <c r="H94" s="1"/>
      <c r="I94" s="1"/>
      <c r="J94" s="1"/>
      <c r="K94" s="1"/>
      <c r="L94" s="1"/>
      <c r="M94" s="1"/>
      <c r="N94" s="1"/>
      <c r="O94" s="31"/>
      <c r="P94" s="26"/>
    </row>
    <row r="95" spans="5:16" x14ac:dyDescent="0.3">
      <c r="E95" s="27"/>
      <c r="F95" s="26"/>
      <c r="G95" s="1"/>
      <c r="H95" s="1"/>
      <c r="I95" s="1"/>
      <c r="J95" s="1"/>
      <c r="K95" s="1"/>
      <c r="L95" s="1"/>
      <c r="M95" s="1"/>
      <c r="N95" s="1"/>
      <c r="O95" s="31"/>
      <c r="P95" s="26"/>
    </row>
    <row r="96" spans="5:16" x14ac:dyDescent="0.3">
      <c r="E96" s="27"/>
      <c r="F96" s="26"/>
      <c r="G96" s="1"/>
      <c r="H96" s="1"/>
      <c r="I96" s="1"/>
      <c r="J96" s="1"/>
      <c r="K96" s="1"/>
      <c r="L96" s="1"/>
      <c r="M96" s="1"/>
      <c r="N96" s="1"/>
      <c r="O96" s="31"/>
      <c r="P96" s="26"/>
    </row>
    <row r="97" spans="5:16" x14ac:dyDescent="0.3">
      <c r="E97" s="27"/>
      <c r="F97" s="26"/>
      <c r="G97" s="1"/>
      <c r="H97" s="1"/>
      <c r="I97" s="1"/>
      <c r="J97" s="1"/>
      <c r="K97" s="1"/>
      <c r="L97" s="1"/>
      <c r="M97" s="1"/>
      <c r="N97" s="1"/>
      <c r="O97" s="31"/>
      <c r="P97" s="26"/>
    </row>
    <row r="98" spans="5:16" x14ac:dyDescent="0.3">
      <c r="E98" s="27"/>
      <c r="F98" s="26"/>
      <c r="G98" s="1"/>
      <c r="H98" s="1"/>
      <c r="I98" s="1"/>
      <c r="J98" s="1"/>
      <c r="K98" s="1"/>
      <c r="L98" s="1"/>
      <c r="M98" s="1"/>
      <c r="N98" s="1"/>
      <c r="O98" s="31"/>
      <c r="P98" s="26"/>
    </row>
    <row r="99" spans="5:16" x14ac:dyDescent="0.3">
      <c r="E99" s="27"/>
      <c r="F99" s="26"/>
      <c r="G99" s="1"/>
      <c r="H99" s="1"/>
      <c r="I99" s="1"/>
      <c r="J99" s="1"/>
      <c r="K99" s="1"/>
      <c r="L99" s="1"/>
      <c r="M99" s="1"/>
      <c r="N99" s="1"/>
      <c r="O99" s="31"/>
      <c r="P99" s="26"/>
    </row>
    <row r="100" spans="5:16" x14ac:dyDescent="0.3">
      <c r="E100" s="27"/>
      <c r="F100" s="26"/>
      <c r="G100" s="1"/>
      <c r="H100" s="1"/>
      <c r="I100" s="1"/>
      <c r="J100" s="1"/>
      <c r="K100" s="1"/>
      <c r="L100" s="1"/>
      <c r="M100" s="1"/>
      <c r="N100" s="1"/>
      <c r="O100" s="31"/>
      <c r="P100" s="26"/>
    </row>
    <row r="101" spans="5:16" x14ac:dyDescent="0.3">
      <c r="E101" s="27"/>
      <c r="F101" s="26"/>
      <c r="G101" s="1"/>
      <c r="H101" s="1"/>
      <c r="I101" s="1"/>
      <c r="J101" s="1"/>
      <c r="K101" s="1"/>
      <c r="L101" s="1"/>
      <c r="M101" s="1"/>
      <c r="N101" s="1"/>
      <c r="O101" s="31"/>
      <c r="P101" s="26"/>
    </row>
    <row r="102" spans="5:16" x14ac:dyDescent="0.3">
      <c r="E102" s="27"/>
      <c r="F102" s="26"/>
      <c r="G102" s="1"/>
      <c r="H102" s="1"/>
      <c r="I102" s="1"/>
      <c r="J102" s="1"/>
      <c r="K102" s="1"/>
      <c r="L102" s="1"/>
      <c r="M102" s="1"/>
      <c r="N102" s="1"/>
      <c r="O102" s="31"/>
      <c r="P102" s="26"/>
    </row>
    <row r="103" spans="5:16" x14ac:dyDescent="0.3">
      <c r="E103" s="27"/>
      <c r="F103" s="26"/>
      <c r="G103" s="1"/>
      <c r="H103" s="1"/>
      <c r="I103" s="1"/>
      <c r="J103" s="1"/>
      <c r="K103" s="1"/>
      <c r="L103" s="1"/>
      <c r="M103" s="1"/>
      <c r="N103" s="1"/>
      <c r="O103" s="31"/>
      <c r="P103" s="26"/>
    </row>
    <row r="104" spans="5:16" x14ac:dyDescent="0.3">
      <c r="E104" s="27"/>
      <c r="F104" s="26"/>
      <c r="G104" s="1"/>
      <c r="H104" s="1"/>
      <c r="I104" s="1"/>
      <c r="J104" s="1"/>
      <c r="K104" s="1"/>
      <c r="L104" s="1"/>
      <c r="M104" s="1"/>
      <c r="N104" s="1"/>
      <c r="O104" s="31"/>
      <c r="P104" s="26"/>
    </row>
    <row r="105" spans="5:16" x14ac:dyDescent="0.3">
      <c r="E105" s="27"/>
      <c r="F105" s="26"/>
      <c r="G105" s="1"/>
      <c r="H105" s="1"/>
      <c r="I105" s="1"/>
      <c r="J105" s="1"/>
      <c r="K105" s="1"/>
      <c r="L105" s="1"/>
      <c r="M105" s="1"/>
      <c r="N105" s="1"/>
      <c r="O105" s="31"/>
      <c r="P105" s="26"/>
    </row>
    <row r="106" spans="5:16" x14ac:dyDescent="0.3">
      <c r="E106" s="27"/>
      <c r="F106" s="1"/>
      <c r="G106" s="1"/>
      <c r="H106" s="1"/>
      <c r="I106" s="1"/>
      <c r="J106" s="1"/>
      <c r="K106" s="1"/>
      <c r="L106" s="1"/>
      <c r="M106" s="1"/>
      <c r="N106" s="1"/>
      <c r="O106" s="31"/>
      <c r="P106" s="26"/>
    </row>
    <row r="107" spans="5:16" x14ac:dyDescent="0.3">
      <c r="E107" s="27"/>
      <c r="F107" s="1"/>
      <c r="G107" s="1"/>
      <c r="H107" s="1"/>
      <c r="I107" s="1"/>
      <c r="J107" s="1"/>
      <c r="K107" s="1"/>
      <c r="L107" s="1"/>
      <c r="M107" s="1"/>
      <c r="N107" s="1"/>
      <c r="O107" s="31"/>
      <c r="P107" s="26"/>
    </row>
    <row r="108" spans="5:16" x14ac:dyDescent="0.3">
      <c r="E108" s="27"/>
      <c r="F108" s="1"/>
      <c r="G108" s="1"/>
      <c r="H108" s="1"/>
      <c r="I108" s="1"/>
      <c r="J108" s="1"/>
      <c r="K108" s="1"/>
      <c r="L108" s="1"/>
      <c r="M108" s="1"/>
      <c r="N108" s="1"/>
      <c r="O108" s="31"/>
      <c r="P108" s="26"/>
    </row>
    <row r="109" spans="5:16" x14ac:dyDescent="0.3">
      <c r="E109" s="27"/>
      <c r="F109" s="1"/>
      <c r="G109" s="1"/>
      <c r="H109" s="1"/>
      <c r="I109" s="1"/>
      <c r="J109" s="1"/>
      <c r="K109" s="1"/>
      <c r="L109" s="1"/>
      <c r="M109" s="1"/>
      <c r="N109" s="1"/>
      <c r="O109" s="31"/>
      <c r="P109" s="26"/>
    </row>
    <row r="110" spans="5:16" x14ac:dyDescent="0.3">
      <c r="E110" s="27"/>
      <c r="F110" s="1"/>
      <c r="G110" s="1"/>
      <c r="H110" s="1"/>
      <c r="I110" s="1"/>
      <c r="J110" s="1"/>
      <c r="K110" s="1"/>
      <c r="L110" s="1"/>
      <c r="M110" s="1"/>
      <c r="N110" s="1"/>
      <c r="O110" s="31"/>
      <c r="P110" s="26"/>
    </row>
    <row r="111" spans="5:16" x14ac:dyDescent="0.3">
      <c r="E111" s="27"/>
      <c r="F111" s="1"/>
      <c r="G111" s="1"/>
      <c r="H111" s="1"/>
      <c r="I111" s="1"/>
      <c r="J111" s="1"/>
      <c r="K111" s="1"/>
      <c r="L111" s="1"/>
      <c r="M111" s="1"/>
      <c r="N111" s="1"/>
      <c r="O111" s="31"/>
      <c r="P111" s="26"/>
    </row>
    <row r="112" spans="5:16" x14ac:dyDescent="0.3">
      <c r="E112" s="27"/>
      <c r="F112" s="1"/>
      <c r="G112" s="1"/>
      <c r="H112" s="1"/>
      <c r="I112" s="1"/>
      <c r="J112" s="1"/>
      <c r="K112" s="1"/>
      <c r="L112" s="1"/>
      <c r="M112" s="1"/>
      <c r="N112" s="1"/>
      <c r="O112" s="31"/>
      <c r="P112" s="26"/>
    </row>
    <row r="113" spans="5:16" x14ac:dyDescent="0.3">
      <c r="E113" s="27"/>
      <c r="F113" s="1"/>
      <c r="G113" s="1"/>
      <c r="H113" s="1"/>
      <c r="I113" s="1"/>
      <c r="J113" s="1"/>
      <c r="K113" s="1"/>
      <c r="L113" s="1"/>
      <c r="M113" s="1"/>
      <c r="N113" s="1"/>
      <c r="O113" s="31"/>
      <c r="P113" s="26"/>
    </row>
    <row r="114" spans="5:16" x14ac:dyDescent="0.3">
      <c r="E114" s="27"/>
      <c r="F114" s="1"/>
      <c r="G114" s="1"/>
      <c r="H114" s="1"/>
      <c r="I114" s="1"/>
      <c r="J114" s="1"/>
      <c r="K114" s="1"/>
      <c r="L114" s="1"/>
      <c r="M114" s="1"/>
      <c r="N114" s="1"/>
      <c r="O114" s="31"/>
      <c r="P114" s="26"/>
    </row>
    <row r="115" spans="5:16" x14ac:dyDescent="0.3">
      <c r="E115" s="27"/>
      <c r="F115" s="1"/>
      <c r="G115" s="1"/>
      <c r="H115" s="1"/>
      <c r="I115" s="1"/>
      <c r="J115" s="1"/>
      <c r="K115" s="1"/>
      <c r="L115" s="1"/>
      <c r="M115" s="1"/>
      <c r="N115" s="1"/>
      <c r="O115" s="31"/>
      <c r="P115" s="26"/>
    </row>
    <row r="116" spans="5:16" x14ac:dyDescent="0.3">
      <c r="E116" s="27"/>
      <c r="F116" s="1"/>
      <c r="G116" s="1"/>
      <c r="H116" s="1"/>
      <c r="I116" s="1"/>
      <c r="J116" s="1"/>
      <c r="K116" s="1"/>
      <c r="L116" s="1"/>
      <c r="M116" s="1"/>
      <c r="N116" s="1"/>
      <c r="O116" s="31"/>
      <c r="P116" s="26"/>
    </row>
    <row r="117" spans="5:16" x14ac:dyDescent="0.3">
      <c r="E117" s="27"/>
      <c r="F117" s="1"/>
      <c r="G117" s="1"/>
      <c r="H117" s="1"/>
      <c r="I117" s="1"/>
      <c r="J117" s="1"/>
      <c r="K117" s="1"/>
      <c r="L117" s="1"/>
      <c r="M117" s="1"/>
      <c r="N117" s="1"/>
      <c r="O117" s="31"/>
      <c r="P117" s="26"/>
    </row>
    <row r="118" spans="5:16" x14ac:dyDescent="0.3">
      <c r="E118" s="27"/>
      <c r="F118" s="1"/>
      <c r="G118" s="1"/>
      <c r="H118" s="1"/>
      <c r="I118" s="1"/>
      <c r="J118" s="1"/>
      <c r="K118" s="1"/>
      <c r="L118" s="1"/>
      <c r="M118" s="1"/>
      <c r="N118" s="1"/>
      <c r="O118" s="31"/>
      <c r="P118" s="26"/>
    </row>
    <row r="119" spans="5:16" x14ac:dyDescent="0.3">
      <c r="E119" s="27"/>
      <c r="F119" s="1"/>
      <c r="G119" s="1"/>
      <c r="H119" s="1"/>
      <c r="I119" s="1"/>
      <c r="J119" s="1"/>
      <c r="K119" s="1"/>
      <c r="L119" s="1"/>
      <c r="M119" s="1"/>
      <c r="N119" s="1"/>
      <c r="O119" s="31"/>
      <c r="P119" s="26"/>
    </row>
    <row r="120" spans="5:16" x14ac:dyDescent="0.3">
      <c r="E120" s="27"/>
      <c r="F120" s="1"/>
      <c r="G120" s="1"/>
      <c r="H120" s="1"/>
      <c r="I120" s="1"/>
      <c r="J120" s="1"/>
      <c r="K120" s="1"/>
      <c r="L120" s="1"/>
      <c r="M120" s="1"/>
      <c r="N120" s="1"/>
      <c r="O120" s="31"/>
      <c r="P120" s="26"/>
    </row>
    <row r="121" spans="5:16" x14ac:dyDescent="0.3">
      <c r="E121" s="27"/>
      <c r="F121" s="1"/>
      <c r="G121" s="1"/>
      <c r="H121" s="1"/>
      <c r="I121" s="1"/>
      <c r="J121" s="1"/>
      <c r="K121" s="1"/>
      <c r="L121" s="1"/>
      <c r="M121" s="1"/>
      <c r="N121" s="1"/>
      <c r="O121" s="31"/>
      <c r="P121" s="26"/>
    </row>
    <row r="122" spans="5:16" x14ac:dyDescent="0.3">
      <c r="E122" s="27"/>
      <c r="F122" s="1"/>
      <c r="G122" s="1"/>
      <c r="H122" s="1"/>
      <c r="I122" s="1"/>
      <c r="J122" s="1"/>
      <c r="K122" s="1"/>
      <c r="L122" s="1"/>
      <c r="M122" s="1"/>
      <c r="N122" s="1"/>
      <c r="O122" s="31"/>
      <c r="P122" s="26"/>
    </row>
    <row r="123" spans="5:16" x14ac:dyDescent="0.3">
      <c r="E123" s="27"/>
      <c r="F123" s="1"/>
      <c r="G123" s="1"/>
      <c r="H123" s="1"/>
      <c r="I123" s="1"/>
      <c r="J123" s="1"/>
      <c r="K123" s="1"/>
      <c r="L123" s="1"/>
      <c r="M123" s="1"/>
      <c r="N123" s="1"/>
      <c r="O123" s="31"/>
      <c r="P123" s="26"/>
    </row>
    <row r="124" spans="5:16" x14ac:dyDescent="0.3">
      <c r="E124" s="27"/>
      <c r="F124" s="1"/>
      <c r="G124" s="1"/>
      <c r="H124" s="1"/>
      <c r="I124" s="1"/>
      <c r="J124" s="1"/>
      <c r="K124" s="1"/>
      <c r="L124" s="1"/>
      <c r="M124" s="1"/>
      <c r="N124" s="1"/>
      <c r="O124" s="31"/>
      <c r="P124" s="26"/>
    </row>
    <row r="125" spans="5:16" x14ac:dyDescent="0.3">
      <c r="E125" s="27"/>
      <c r="F125" s="1"/>
      <c r="G125" s="1"/>
      <c r="H125" s="1"/>
      <c r="I125" s="1"/>
      <c r="J125" s="1"/>
      <c r="K125" s="1"/>
      <c r="L125" s="1"/>
      <c r="M125" s="1"/>
      <c r="N125" s="1"/>
      <c r="O125" s="31"/>
      <c r="P125" s="26"/>
    </row>
    <row r="126" spans="5:16" x14ac:dyDescent="0.3">
      <c r="E126" s="27"/>
      <c r="F126" s="1"/>
      <c r="G126" s="1"/>
      <c r="H126" s="1"/>
      <c r="I126" s="1"/>
      <c r="J126" s="1"/>
      <c r="K126" s="1"/>
      <c r="L126" s="1"/>
      <c r="M126" s="1"/>
      <c r="N126" s="1"/>
      <c r="O126" s="31"/>
      <c r="P126" s="26"/>
    </row>
    <row r="127" spans="5:16" x14ac:dyDescent="0.3">
      <c r="E127" s="27"/>
      <c r="F127" s="1"/>
      <c r="G127" s="1"/>
      <c r="H127" s="1"/>
      <c r="I127" s="1"/>
      <c r="J127" s="1"/>
      <c r="K127" s="1"/>
      <c r="L127" s="1"/>
      <c r="M127" s="1"/>
      <c r="N127" s="1"/>
      <c r="O127" s="31"/>
      <c r="P127" s="26"/>
    </row>
    <row r="128" spans="5:16" x14ac:dyDescent="0.3">
      <c r="E128" s="27"/>
      <c r="F128" s="1"/>
      <c r="G128" s="1"/>
      <c r="H128" s="1"/>
      <c r="I128" s="1"/>
      <c r="J128" s="1"/>
      <c r="K128" s="1"/>
      <c r="L128" s="1"/>
      <c r="M128" s="1"/>
      <c r="N128" s="1"/>
      <c r="O128" s="31"/>
      <c r="P128" s="26"/>
    </row>
    <row r="129" spans="5:16" x14ac:dyDescent="0.3">
      <c r="E129" s="27"/>
      <c r="F129" s="1"/>
      <c r="G129" s="1"/>
      <c r="H129" s="1"/>
      <c r="I129" s="1"/>
      <c r="J129" s="1"/>
      <c r="K129" s="1"/>
      <c r="L129" s="1"/>
      <c r="M129" s="1"/>
      <c r="N129" s="1"/>
      <c r="O129" s="31"/>
      <c r="P129" s="26"/>
    </row>
    <row r="130" spans="5:16" x14ac:dyDescent="0.3">
      <c r="E130" s="27"/>
      <c r="F130" s="1"/>
      <c r="G130" s="1"/>
      <c r="H130" s="1"/>
      <c r="I130" s="1"/>
      <c r="J130" s="1"/>
      <c r="K130" s="1"/>
      <c r="L130" s="1"/>
      <c r="M130" s="1"/>
      <c r="N130" s="1"/>
      <c r="O130" s="31"/>
      <c r="P130" s="26"/>
    </row>
    <row r="131" spans="5:16" x14ac:dyDescent="0.3">
      <c r="E131" s="27"/>
      <c r="F131" s="1"/>
      <c r="G131" s="1"/>
      <c r="H131" s="1"/>
      <c r="I131" s="1"/>
      <c r="J131" s="1"/>
      <c r="K131" s="1"/>
      <c r="L131" s="1"/>
      <c r="M131" s="1"/>
      <c r="N131" s="1"/>
      <c r="O131" s="31"/>
      <c r="P131" s="26"/>
    </row>
    <row r="132" spans="5:16" x14ac:dyDescent="0.3">
      <c r="E132" s="27"/>
      <c r="F132" s="1"/>
      <c r="G132" s="1"/>
      <c r="H132" s="1"/>
      <c r="I132" s="1"/>
      <c r="J132" s="1"/>
      <c r="K132" s="1"/>
      <c r="L132" s="1"/>
      <c r="M132" s="1"/>
      <c r="N132" s="1"/>
      <c r="O132" s="31"/>
      <c r="P132" s="26"/>
    </row>
    <row r="133" spans="5:16" x14ac:dyDescent="0.3">
      <c r="E133" s="27"/>
      <c r="F133" s="1"/>
      <c r="G133" s="1"/>
      <c r="H133" s="1"/>
      <c r="I133" s="1"/>
      <c r="J133" s="1"/>
      <c r="K133" s="1"/>
      <c r="L133" s="1"/>
      <c r="M133" s="1"/>
      <c r="N133" s="1"/>
      <c r="O133" s="31"/>
      <c r="P133" s="26"/>
    </row>
    <row r="134" spans="5:16" x14ac:dyDescent="0.3">
      <c r="E134" s="27"/>
      <c r="F134" s="1"/>
      <c r="G134" s="1"/>
      <c r="H134" s="1"/>
      <c r="I134" s="1"/>
      <c r="J134" s="1"/>
      <c r="K134" s="1"/>
      <c r="L134" s="1"/>
      <c r="M134" s="1"/>
      <c r="N134" s="1"/>
      <c r="O134" s="31"/>
      <c r="P134" s="26"/>
    </row>
    <row r="135" spans="5:16" x14ac:dyDescent="0.3">
      <c r="E135" s="27"/>
      <c r="F135" s="1"/>
      <c r="G135" s="1"/>
      <c r="H135" s="1"/>
      <c r="I135" s="1"/>
      <c r="J135" s="1"/>
      <c r="K135" s="1"/>
      <c r="L135" s="1"/>
      <c r="M135" s="1"/>
      <c r="N135" s="1"/>
      <c r="O135" s="31"/>
      <c r="P135" s="26"/>
    </row>
    <row r="136" spans="5:16" x14ac:dyDescent="0.3">
      <c r="E136" s="27"/>
      <c r="F136" s="1"/>
      <c r="G136" s="1"/>
      <c r="H136" s="1"/>
      <c r="I136" s="1"/>
      <c r="J136" s="1"/>
      <c r="K136" s="1"/>
      <c r="L136" s="1"/>
      <c r="M136" s="1"/>
      <c r="N136" s="1"/>
      <c r="O136" s="31"/>
      <c r="P136" s="26"/>
    </row>
    <row r="137" spans="5:16" x14ac:dyDescent="0.3">
      <c r="E137" s="27"/>
      <c r="F137" s="1"/>
      <c r="G137" s="1"/>
      <c r="H137" s="1"/>
      <c r="I137" s="1"/>
      <c r="J137" s="1"/>
      <c r="K137" s="1"/>
      <c r="L137" s="1"/>
      <c r="M137" s="1"/>
      <c r="N137" s="1"/>
      <c r="O137" s="31"/>
      <c r="P137" s="26"/>
    </row>
    <row r="138" spans="5:16" x14ac:dyDescent="0.3">
      <c r="E138" s="27"/>
      <c r="F138" s="1"/>
      <c r="G138" s="1"/>
      <c r="H138" s="1"/>
      <c r="I138" s="1"/>
      <c r="J138" s="1"/>
      <c r="K138" s="1"/>
      <c r="L138" s="1"/>
      <c r="M138" s="1"/>
      <c r="N138" s="1"/>
      <c r="O138" s="31"/>
      <c r="P138" s="26"/>
    </row>
    <row r="139" spans="5:16" x14ac:dyDescent="0.3">
      <c r="E139" s="27"/>
      <c r="F139" s="1"/>
      <c r="G139" s="1"/>
      <c r="H139" s="1"/>
      <c r="I139" s="1"/>
      <c r="J139" s="1"/>
      <c r="K139" s="1"/>
      <c r="L139" s="1"/>
      <c r="M139" s="1"/>
      <c r="N139" s="1"/>
      <c r="O139" s="31"/>
      <c r="P139" s="26"/>
    </row>
    <row r="140" spans="5:16" x14ac:dyDescent="0.3">
      <c r="E140" s="27"/>
      <c r="F140" s="1"/>
      <c r="G140" s="1"/>
      <c r="H140" s="1"/>
      <c r="I140" s="1"/>
      <c r="J140" s="1"/>
      <c r="K140" s="1"/>
      <c r="L140" s="1"/>
      <c r="M140" s="1"/>
      <c r="N140" s="1"/>
      <c r="O140" s="31"/>
      <c r="P140" s="26"/>
    </row>
    <row r="141" spans="5:16" x14ac:dyDescent="0.3">
      <c r="E141" s="27"/>
      <c r="F141" s="1"/>
      <c r="G141" s="1"/>
      <c r="H141" s="1"/>
      <c r="I141" s="1"/>
      <c r="J141" s="1"/>
      <c r="K141" s="1"/>
      <c r="L141" s="1"/>
      <c r="M141" s="1"/>
      <c r="N141" s="1"/>
      <c r="O141" s="31"/>
      <c r="P141" s="26"/>
    </row>
    <row r="142" spans="5:16" x14ac:dyDescent="0.3">
      <c r="E142" s="27"/>
      <c r="F142" s="1"/>
      <c r="G142" s="1"/>
      <c r="H142" s="1"/>
      <c r="I142" s="1"/>
      <c r="J142" s="1"/>
      <c r="K142" s="1"/>
      <c r="L142" s="1"/>
      <c r="M142" s="1"/>
      <c r="N142" s="1"/>
      <c r="O142" s="31"/>
      <c r="P142" s="26"/>
    </row>
    <row r="143" spans="5:16" x14ac:dyDescent="0.3">
      <c r="E143" s="27"/>
      <c r="F143" s="1"/>
      <c r="G143" s="1"/>
      <c r="H143" s="1"/>
      <c r="I143" s="1"/>
      <c r="J143" s="1"/>
      <c r="K143" s="1"/>
      <c r="L143" s="1"/>
      <c r="M143" s="1"/>
      <c r="N143" s="1"/>
      <c r="O143" s="31"/>
      <c r="P143" s="26"/>
    </row>
    <row r="144" spans="5:16" x14ac:dyDescent="0.3">
      <c r="E144" s="27"/>
      <c r="F144" s="1"/>
      <c r="G144" s="1"/>
      <c r="H144" s="1"/>
      <c r="I144" s="1"/>
      <c r="J144" s="1"/>
      <c r="K144" s="1"/>
      <c r="L144" s="1"/>
      <c r="M144" s="1"/>
      <c r="N144" s="1"/>
      <c r="O144" s="31"/>
      <c r="P144" s="26"/>
    </row>
    <row r="145" spans="5:16" x14ac:dyDescent="0.3">
      <c r="E145" s="27"/>
      <c r="F145" s="1"/>
      <c r="G145" s="1"/>
      <c r="H145" s="1"/>
      <c r="I145" s="1"/>
      <c r="J145" s="1"/>
      <c r="K145" s="1"/>
      <c r="L145" s="1"/>
      <c r="M145" s="1"/>
      <c r="N145" s="1"/>
      <c r="O145" s="31"/>
      <c r="P145" s="26"/>
    </row>
    <row r="146" spans="5:16" x14ac:dyDescent="0.3">
      <c r="E146" s="27"/>
      <c r="F146" s="1"/>
      <c r="G146" s="1"/>
      <c r="H146" s="1"/>
      <c r="I146" s="1"/>
      <c r="J146" s="1"/>
      <c r="K146" s="1"/>
      <c r="L146" s="1"/>
      <c r="M146" s="1"/>
      <c r="N146" s="1"/>
      <c r="O146" s="31"/>
      <c r="P146" s="26"/>
    </row>
    <row r="147" spans="5:16" x14ac:dyDescent="0.3">
      <c r="E147" s="27"/>
      <c r="F147" s="1"/>
      <c r="G147" s="1"/>
      <c r="H147" s="1"/>
      <c r="I147" s="1"/>
      <c r="J147" s="1"/>
      <c r="K147" s="1"/>
      <c r="L147" s="1"/>
      <c r="M147" s="1"/>
      <c r="N147" s="1"/>
      <c r="O147" s="31"/>
      <c r="P147" s="26"/>
    </row>
    <row r="148" spans="5:16" x14ac:dyDescent="0.3">
      <c r="E148" s="27"/>
      <c r="F148" s="1"/>
      <c r="G148" s="1"/>
      <c r="H148" s="1"/>
      <c r="I148" s="1"/>
      <c r="J148" s="1"/>
      <c r="K148" s="1"/>
      <c r="L148" s="1"/>
      <c r="M148" s="1"/>
      <c r="N148" s="1"/>
      <c r="O148" s="31"/>
      <c r="P148" s="26"/>
    </row>
    <row r="149" spans="5:16" x14ac:dyDescent="0.3">
      <c r="E149" s="27"/>
      <c r="F149" s="1"/>
      <c r="G149" s="1"/>
      <c r="H149" s="1"/>
      <c r="I149" s="1"/>
      <c r="J149" s="1"/>
      <c r="K149" s="1"/>
      <c r="L149" s="1"/>
      <c r="M149" s="1"/>
      <c r="N149" s="1"/>
      <c r="O149" s="31"/>
      <c r="P149" s="26"/>
    </row>
    <row r="150" spans="5:16" x14ac:dyDescent="0.3">
      <c r="E150" s="27"/>
      <c r="F150" s="1"/>
      <c r="G150" s="1"/>
      <c r="H150" s="1"/>
      <c r="I150" s="1"/>
      <c r="J150" s="1"/>
      <c r="K150" s="1"/>
      <c r="L150" s="1"/>
      <c r="M150" s="1"/>
      <c r="N150" s="1"/>
      <c r="O150" s="31"/>
      <c r="P150" s="26"/>
    </row>
    <row r="151" spans="5:16" x14ac:dyDescent="0.3">
      <c r="E151" s="27"/>
      <c r="F151" s="1"/>
      <c r="G151" s="1"/>
      <c r="H151" s="1"/>
      <c r="I151" s="1"/>
      <c r="J151" s="1"/>
      <c r="K151" s="1"/>
      <c r="L151" s="1"/>
      <c r="M151" s="1"/>
      <c r="N151" s="1"/>
      <c r="O151" s="31"/>
      <c r="P151" s="26"/>
    </row>
    <row r="152" spans="5:16" x14ac:dyDescent="0.3">
      <c r="E152" s="27"/>
      <c r="F152" s="1"/>
      <c r="G152" s="1"/>
      <c r="H152" s="1"/>
      <c r="I152" s="1"/>
      <c r="J152" s="1"/>
      <c r="K152" s="1"/>
      <c r="L152" s="1"/>
      <c r="M152" s="1"/>
      <c r="N152" s="1"/>
      <c r="O152" s="31"/>
      <c r="P152" s="26"/>
    </row>
    <row r="153" spans="5:16" x14ac:dyDescent="0.3">
      <c r="E153" s="27"/>
      <c r="F153" s="1"/>
      <c r="G153" s="1"/>
      <c r="H153" s="1"/>
      <c r="I153" s="1"/>
      <c r="J153" s="1"/>
      <c r="K153" s="1"/>
      <c r="L153" s="1"/>
      <c r="M153" s="1"/>
      <c r="N153" s="1"/>
      <c r="O153" s="31"/>
      <c r="P153" s="26"/>
    </row>
    <row r="154" spans="5:16" x14ac:dyDescent="0.3">
      <c r="E154" s="27"/>
      <c r="F154" s="1"/>
      <c r="G154" s="1"/>
      <c r="H154" s="1"/>
      <c r="I154" s="1"/>
      <c r="J154" s="1"/>
      <c r="K154" s="1"/>
      <c r="L154" s="1"/>
      <c r="M154" s="1"/>
      <c r="N154" s="1"/>
      <c r="O154" s="31"/>
      <c r="P154" s="26"/>
    </row>
    <row r="155" spans="5:16" x14ac:dyDescent="0.3">
      <c r="E155" s="27"/>
      <c r="F155" s="1"/>
      <c r="G155" s="1"/>
      <c r="H155" s="1"/>
      <c r="I155" s="1"/>
      <c r="J155" s="1"/>
      <c r="K155" s="1"/>
      <c r="L155" s="1"/>
      <c r="M155" s="1"/>
      <c r="N155" s="1"/>
      <c r="O155" s="31"/>
      <c r="P155" s="26"/>
    </row>
    <row r="156" spans="5:16" x14ac:dyDescent="0.3">
      <c r="E156" s="27"/>
      <c r="F156" s="1"/>
      <c r="G156" s="1"/>
      <c r="H156" s="1"/>
      <c r="I156" s="1"/>
      <c r="J156" s="1"/>
      <c r="K156" s="1"/>
      <c r="L156" s="1"/>
      <c r="M156" s="1"/>
      <c r="N156" s="1"/>
      <c r="O156" s="31"/>
      <c r="P156" s="26"/>
    </row>
    <row r="157" spans="5:16" x14ac:dyDescent="0.3">
      <c r="E157" s="27"/>
      <c r="F157" s="1"/>
      <c r="G157" s="1"/>
      <c r="H157" s="1"/>
      <c r="I157" s="1"/>
      <c r="J157" s="1"/>
      <c r="K157" s="1"/>
      <c r="L157" s="1"/>
      <c r="M157" s="1"/>
      <c r="N157" s="1"/>
      <c r="O157" s="31"/>
      <c r="P157" s="26"/>
    </row>
    <row r="158" spans="5:16" x14ac:dyDescent="0.3">
      <c r="E158" s="27"/>
      <c r="F158" s="1"/>
      <c r="G158" s="1"/>
      <c r="H158" s="1"/>
      <c r="I158" s="1"/>
      <c r="J158" s="1"/>
      <c r="K158" s="1"/>
      <c r="L158" s="1"/>
      <c r="M158" s="1"/>
      <c r="N158" s="1"/>
      <c r="O158" s="31"/>
      <c r="P158" s="26"/>
    </row>
    <row r="159" spans="5:16" x14ac:dyDescent="0.3">
      <c r="E159" s="27"/>
      <c r="F159" s="1"/>
      <c r="G159" s="1"/>
      <c r="H159" s="1"/>
      <c r="I159" s="1"/>
      <c r="J159" s="1"/>
      <c r="K159" s="1"/>
      <c r="L159" s="1"/>
      <c r="M159" s="1"/>
      <c r="N159" s="1"/>
      <c r="O159" s="31"/>
      <c r="P159" s="26"/>
    </row>
    <row r="160" spans="5:16" x14ac:dyDescent="0.3">
      <c r="E160" s="27"/>
      <c r="F160" s="1"/>
      <c r="G160" s="1"/>
      <c r="H160" s="1"/>
      <c r="I160" s="1"/>
      <c r="J160" s="1"/>
      <c r="K160" s="1"/>
      <c r="L160" s="1"/>
      <c r="M160" s="1"/>
      <c r="N160" s="1"/>
      <c r="O160" s="31"/>
      <c r="P160" s="26"/>
    </row>
    <row r="161" spans="5:16" x14ac:dyDescent="0.3">
      <c r="E161" s="27"/>
      <c r="F161" s="1"/>
      <c r="G161" s="1"/>
      <c r="H161" s="1"/>
      <c r="I161" s="1"/>
      <c r="J161" s="1"/>
      <c r="K161" s="1"/>
      <c r="L161" s="1"/>
      <c r="M161" s="1"/>
      <c r="N161" s="1"/>
      <c r="O161" s="31"/>
      <c r="P161" s="26"/>
    </row>
    <row r="162" spans="5:16" x14ac:dyDescent="0.3">
      <c r="E162" s="27"/>
      <c r="F162" s="1"/>
      <c r="G162" s="1"/>
      <c r="H162" s="1"/>
      <c r="I162" s="1"/>
      <c r="J162" s="1"/>
      <c r="K162" s="1"/>
      <c r="L162" s="1"/>
      <c r="M162" s="1"/>
      <c r="N162" s="1"/>
      <c r="O162" s="31"/>
      <c r="P162" s="26"/>
    </row>
    <row r="163" spans="5:16" x14ac:dyDescent="0.3">
      <c r="E163" s="27"/>
      <c r="F163" s="1"/>
      <c r="G163" s="1"/>
      <c r="H163" s="1"/>
      <c r="I163" s="1"/>
      <c r="J163" s="1"/>
      <c r="K163" s="1"/>
      <c r="L163" s="1"/>
      <c r="M163" s="1"/>
      <c r="N163" s="1"/>
      <c r="O163" s="31"/>
      <c r="P163" s="26"/>
    </row>
    <row r="164" spans="5:16" x14ac:dyDescent="0.3">
      <c r="E164" s="27"/>
      <c r="F164" s="1"/>
      <c r="G164" s="1"/>
      <c r="H164" s="1"/>
      <c r="I164" s="1"/>
      <c r="J164" s="1"/>
      <c r="K164" s="1"/>
      <c r="L164" s="1"/>
      <c r="M164" s="1"/>
      <c r="N164" s="1"/>
      <c r="O164" s="31"/>
      <c r="P164" s="26"/>
    </row>
    <row r="165" spans="5:16" x14ac:dyDescent="0.3">
      <c r="E165" s="27"/>
      <c r="F165" s="1"/>
      <c r="G165" s="1"/>
      <c r="H165" s="1"/>
      <c r="I165" s="1"/>
      <c r="J165" s="1"/>
      <c r="K165" s="1"/>
      <c r="L165" s="1"/>
      <c r="M165" s="1"/>
      <c r="N165" s="1"/>
      <c r="O165" s="31"/>
      <c r="P165" s="26"/>
    </row>
    <row r="166" spans="5:16" x14ac:dyDescent="0.3">
      <c r="E166" s="27"/>
      <c r="F166" s="1"/>
      <c r="G166" s="1"/>
      <c r="H166" s="1"/>
      <c r="I166" s="1"/>
      <c r="J166" s="1"/>
      <c r="K166" s="1"/>
      <c r="L166" s="1"/>
      <c r="M166" s="1"/>
      <c r="N166" s="1"/>
      <c r="O166" s="31"/>
      <c r="P166" s="26"/>
    </row>
    <row r="167" spans="5:16" x14ac:dyDescent="0.3">
      <c r="E167" s="27"/>
      <c r="F167" s="1"/>
      <c r="G167" s="1"/>
      <c r="H167" s="1"/>
      <c r="I167" s="1"/>
      <c r="J167" s="1"/>
      <c r="K167" s="1"/>
      <c r="L167" s="1"/>
      <c r="M167" s="1"/>
      <c r="N167" s="1"/>
      <c r="O167" s="31"/>
      <c r="P167" s="26"/>
    </row>
    <row r="168" spans="5:16" x14ac:dyDescent="0.3">
      <c r="E168" s="27"/>
      <c r="F168" s="1"/>
      <c r="G168" s="1"/>
      <c r="H168" s="1"/>
      <c r="I168" s="1"/>
      <c r="J168" s="1"/>
      <c r="K168" s="1"/>
      <c r="L168" s="1"/>
      <c r="M168" s="1"/>
      <c r="N168" s="1"/>
      <c r="O168" s="31"/>
      <c r="P168" s="26"/>
    </row>
    <row r="169" spans="5:16" x14ac:dyDescent="0.3">
      <c r="E169" s="27"/>
      <c r="F169" s="1"/>
      <c r="G169" s="1"/>
      <c r="H169" s="1"/>
      <c r="I169" s="1"/>
      <c r="J169" s="1"/>
      <c r="K169" s="1"/>
      <c r="L169" s="1"/>
      <c r="M169" s="1"/>
      <c r="N169" s="1"/>
      <c r="O169" s="31"/>
      <c r="P169" s="26"/>
    </row>
    <row r="170" spans="5:16" x14ac:dyDescent="0.3">
      <c r="E170" s="27"/>
      <c r="F170" s="1"/>
      <c r="G170" s="1"/>
      <c r="H170" s="1"/>
      <c r="I170" s="1"/>
      <c r="J170" s="1"/>
      <c r="K170" s="1"/>
      <c r="L170" s="1"/>
      <c r="M170" s="1"/>
      <c r="N170" s="1"/>
      <c r="O170" s="31"/>
      <c r="P170" s="26"/>
    </row>
    <row r="171" spans="5:16" x14ac:dyDescent="0.3">
      <c r="E171" s="27"/>
      <c r="F171" s="1"/>
      <c r="G171" s="1"/>
      <c r="H171" s="1"/>
      <c r="I171" s="1"/>
      <c r="J171" s="1"/>
      <c r="K171" s="1"/>
      <c r="L171" s="1"/>
      <c r="M171" s="1"/>
      <c r="N171" s="1"/>
      <c r="O171" s="31"/>
      <c r="P171" s="26"/>
    </row>
    <row r="172" spans="5:16" x14ac:dyDescent="0.3">
      <c r="E172" s="27"/>
      <c r="F172" s="1"/>
      <c r="G172" s="1"/>
      <c r="H172" s="1"/>
      <c r="I172" s="1"/>
      <c r="J172" s="1"/>
      <c r="K172" s="1"/>
      <c r="L172" s="1"/>
      <c r="M172" s="1"/>
      <c r="N172" s="1"/>
      <c r="O172" s="31"/>
      <c r="P172" s="26"/>
    </row>
    <row r="173" spans="5:16" x14ac:dyDescent="0.3">
      <c r="E173" s="27"/>
      <c r="F173" s="1"/>
      <c r="G173" s="1"/>
      <c r="H173" s="1"/>
      <c r="I173" s="1"/>
      <c r="J173" s="1"/>
      <c r="K173" s="1"/>
      <c r="L173" s="1"/>
      <c r="M173" s="1"/>
      <c r="N173" s="1"/>
      <c r="O173" s="31"/>
      <c r="P173" s="26"/>
    </row>
    <row r="174" spans="5:16" x14ac:dyDescent="0.3">
      <c r="E174" s="27"/>
      <c r="F174" s="1"/>
      <c r="G174" s="1"/>
      <c r="H174" s="1"/>
      <c r="I174" s="1"/>
      <c r="J174" s="1"/>
      <c r="K174" s="1"/>
      <c r="L174" s="1"/>
      <c r="M174" s="1"/>
      <c r="N174" s="1"/>
      <c r="O174" s="31"/>
      <c r="P174" s="26"/>
    </row>
    <row r="175" spans="5:16" x14ac:dyDescent="0.3">
      <c r="E175" s="27"/>
      <c r="F175" s="1"/>
      <c r="G175" s="1"/>
      <c r="H175" s="1"/>
      <c r="I175" s="1"/>
      <c r="J175" s="1"/>
      <c r="K175" s="1"/>
      <c r="L175" s="1"/>
      <c r="M175" s="1"/>
      <c r="N175" s="1"/>
      <c r="O175" s="31"/>
      <c r="P175" s="26"/>
    </row>
    <row r="176" spans="5:16" x14ac:dyDescent="0.3">
      <c r="E176" s="27"/>
      <c r="F176" s="1"/>
      <c r="G176" s="1"/>
      <c r="H176" s="1"/>
      <c r="I176" s="1"/>
      <c r="J176" s="1"/>
      <c r="K176" s="1"/>
      <c r="L176" s="1"/>
      <c r="M176" s="1"/>
      <c r="N176" s="1"/>
      <c r="O176" s="31"/>
      <c r="P176" s="26"/>
    </row>
    <row r="177" spans="5:16" x14ac:dyDescent="0.3">
      <c r="E177" s="27"/>
      <c r="F177" s="1"/>
      <c r="G177" s="1"/>
      <c r="H177" s="1"/>
      <c r="I177" s="1"/>
      <c r="J177" s="1"/>
      <c r="K177" s="1"/>
      <c r="L177" s="1"/>
      <c r="M177" s="1"/>
      <c r="N177" s="1"/>
      <c r="O177" s="31"/>
      <c r="P177" s="26"/>
    </row>
    <row r="178" spans="5:16" x14ac:dyDescent="0.3">
      <c r="E178" s="27"/>
      <c r="F178" s="1"/>
      <c r="G178" s="1"/>
      <c r="H178" s="1"/>
      <c r="I178" s="1"/>
      <c r="J178" s="1"/>
      <c r="K178" s="1"/>
      <c r="L178" s="1"/>
      <c r="M178" s="1"/>
      <c r="N178" s="1"/>
      <c r="O178" s="31"/>
      <c r="P178" s="26"/>
    </row>
    <row r="179" spans="5:16" x14ac:dyDescent="0.3">
      <c r="E179" s="27"/>
      <c r="F179" s="1"/>
      <c r="G179" s="1"/>
      <c r="H179" s="1"/>
      <c r="I179" s="1"/>
      <c r="J179" s="1"/>
      <c r="K179" s="1"/>
      <c r="L179" s="1"/>
      <c r="M179" s="1"/>
      <c r="N179" s="1"/>
      <c r="O179" s="31"/>
      <c r="P179" s="26"/>
    </row>
    <row r="180" spans="5:16" x14ac:dyDescent="0.3">
      <c r="E180" s="27"/>
      <c r="F180" s="1"/>
      <c r="G180" s="1"/>
      <c r="H180" s="1"/>
      <c r="I180" s="1"/>
      <c r="J180" s="1"/>
      <c r="K180" s="1"/>
      <c r="L180" s="1"/>
      <c r="M180" s="1"/>
      <c r="N180" s="1"/>
      <c r="O180" s="31"/>
      <c r="P180" s="26"/>
    </row>
    <row r="181" spans="5:16" x14ac:dyDescent="0.3">
      <c r="E181" s="27"/>
      <c r="F181" s="1"/>
      <c r="G181" s="1"/>
      <c r="H181" s="1"/>
      <c r="I181" s="1"/>
      <c r="J181" s="1"/>
      <c r="K181" s="1"/>
      <c r="L181" s="1"/>
      <c r="M181" s="1"/>
      <c r="N181" s="1"/>
      <c r="O181" s="31"/>
      <c r="P181" s="26"/>
    </row>
    <row r="182" spans="5:16" x14ac:dyDescent="0.3">
      <c r="E182" s="27"/>
      <c r="F182" s="1"/>
      <c r="G182" s="1"/>
      <c r="H182" s="1"/>
      <c r="I182" s="1"/>
      <c r="J182" s="1"/>
      <c r="K182" s="1"/>
      <c r="L182" s="1"/>
      <c r="M182" s="1"/>
      <c r="N182" s="1"/>
      <c r="O182" s="31"/>
      <c r="P182" s="26"/>
    </row>
    <row r="183" spans="5:16" x14ac:dyDescent="0.3">
      <c r="E183" s="27"/>
      <c r="F183" s="1"/>
      <c r="G183" s="1"/>
      <c r="H183" s="1"/>
      <c r="I183" s="1"/>
      <c r="J183" s="1"/>
      <c r="K183" s="1"/>
      <c r="L183" s="1"/>
      <c r="M183" s="1"/>
      <c r="N183" s="1"/>
      <c r="O183" s="31"/>
      <c r="P183" s="26"/>
    </row>
    <row r="184" spans="5:16" x14ac:dyDescent="0.3">
      <c r="E184" s="27"/>
      <c r="F184" s="1"/>
      <c r="G184" s="1"/>
      <c r="H184" s="1"/>
      <c r="I184" s="1"/>
      <c r="J184" s="1"/>
      <c r="K184" s="1"/>
      <c r="L184" s="1"/>
      <c r="M184" s="1"/>
      <c r="N184" s="1"/>
      <c r="O184" s="31"/>
      <c r="P184" s="26"/>
    </row>
    <row r="185" spans="5:16" x14ac:dyDescent="0.3">
      <c r="E185" s="27"/>
      <c r="F185" s="1"/>
      <c r="G185" s="1"/>
      <c r="H185" s="1"/>
      <c r="I185" s="1"/>
      <c r="J185" s="1"/>
      <c r="K185" s="1"/>
      <c r="L185" s="1"/>
      <c r="M185" s="1"/>
      <c r="N185" s="1"/>
      <c r="O185" s="31"/>
      <c r="P185" s="26"/>
    </row>
    <row r="186" spans="5:16" x14ac:dyDescent="0.3">
      <c r="E186" s="27"/>
      <c r="F186" s="1"/>
      <c r="G186" s="1"/>
      <c r="H186" s="1"/>
      <c r="I186" s="1"/>
      <c r="J186" s="1"/>
      <c r="K186" s="1"/>
      <c r="L186" s="1"/>
      <c r="M186" s="1"/>
      <c r="N186" s="1"/>
      <c r="O186" s="31"/>
      <c r="P186" s="26"/>
    </row>
    <row r="187" spans="5:16" x14ac:dyDescent="0.3">
      <c r="E187" s="27"/>
      <c r="F187" s="1"/>
      <c r="G187" s="1"/>
      <c r="H187" s="1"/>
      <c r="I187" s="1"/>
      <c r="J187" s="1"/>
      <c r="K187" s="1"/>
      <c r="L187" s="1"/>
      <c r="M187" s="1"/>
      <c r="N187" s="1"/>
      <c r="O187" s="31"/>
      <c r="P187" s="26"/>
    </row>
    <row r="188" spans="5:16" x14ac:dyDescent="0.3">
      <c r="E188" s="27"/>
      <c r="F188" s="1"/>
      <c r="G188" s="1"/>
      <c r="H188" s="1"/>
      <c r="I188" s="1"/>
      <c r="J188" s="1"/>
      <c r="K188" s="1"/>
      <c r="L188" s="1"/>
      <c r="M188" s="1"/>
      <c r="N188" s="1"/>
      <c r="O188" s="31"/>
      <c r="P188" s="26"/>
    </row>
    <row r="189" spans="5:16" x14ac:dyDescent="0.3">
      <c r="E189" s="27"/>
      <c r="F189" s="1"/>
      <c r="G189" s="1"/>
      <c r="H189" s="1"/>
      <c r="I189" s="1"/>
      <c r="J189" s="1"/>
      <c r="K189" s="1"/>
      <c r="L189" s="1"/>
      <c r="M189" s="1"/>
      <c r="N189" s="1"/>
      <c r="O189" s="31"/>
      <c r="P189" s="26"/>
    </row>
    <row r="190" spans="5:16" x14ac:dyDescent="0.3">
      <c r="E190" s="27"/>
      <c r="F190" s="1"/>
      <c r="G190" s="1"/>
      <c r="H190" s="1"/>
      <c r="I190" s="1"/>
      <c r="J190" s="1"/>
      <c r="K190" s="1"/>
      <c r="L190" s="1"/>
      <c r="M190" s="1"/>
      <c r="N190" s="1"/>
      <c r="O190" s="31"/>
      <c r="P190" s="26"/>
    </row>
    <row r="191" spans="5:16" x14ac:dyDescent="0.3">
      <c r="E191" s="27"/>
      <c r="F191" s="1"/>
      <c r="G191" s="1"/>
      <c r="H191" s="1"/>
      <c r="I191" s="1"/>
      <c r="J191" s="1"/>
      <c r="K191" s="1"/>
      <c r="L191" s="1"/>
      <c r="M191" s="1"/>
      <c r="N191" s="1"/>
      <c r="O191" s="31"/>
      <c r="P191" s="26"/>
    </row>
    <row r="192" spans="5:16" x14ac:dyDescent="0.3">
      <c r="E192" s="27"/>
      <c r="F192" s="1"/>
      <c r="G192" s="1"/>
      <c r="H192" s="1"/>
      <c r="I192" s="1"/>
      <c r="J192" s="1"/>
      <c r="K192" s="1"/>
      <c r="L192" s="1"/>
      <c r="M192" s="1"/>
      <c r="N192" s="1"/>
      <c r="O192" s="31"/>
      <c r="P192" s="26"/>
    </row>
    <row r="193" spans="5:16" x14ac:dyDescent="0.3">
      <c r="E193" s="27"/>
      <c r="F193" s="1"/>
      <c r="G193" s="1"/>
      <c r="H193" s="1"/>
      <c r="I193" s="1"/>
      <c r="J193" s="1"/>
      <c r="K193" s="1"/>
      <c r="L193" s="1"/>
      <c r="M193" s="1"/>
      <c r="N193" s="1"/>
      <c r="O193" s="31"/>
      <c r="P193" s="26"/>
    </row>
    <row r="194" spans="5:16" x14ac:dyDescent="0.3">
      <c r="E194" s="27"/>
      <c r="F194" s="1"/>
      <c r="G194" s="1"/>
      <c r="H194" s="1"/>
      <c r="I194" s="1"/>
      <c r="J194" s="1"/>
      <c r="K194" s="1"/>
      <c r="L194" s="1"/>
      <c r="M194" s="1"/>
      <c r="N194" s="1"/>
      <c r="O194" s="31"/>
      <c r="P194" s="26"/>
    </row>
    <row r="195" spans="5:16" x14ac:dyDescent="0.3">
      <c r="E195" s="27"/>
      <c r="F195" s="1"/>
      <c r="G195" s="1"/>
      <c r="H195" s="1"/>
      <c r="I195" s="1"/>
      <c r="J195" s="1"/>
      <c r="K195" s="1"/>
      <c r="L195" s="1"/>
      <c r="M195" s="1"/>
      <c r="N195" s="1"/>
      <c r="O195" s="31"/>
      <c r="P195" s="26"/>
    </row>
    <row r="196" spans="5:16" x14ac:dyDescent="0.3">
      <c r="E196" s="27"/>
      <c r="F196" s="1"/>
      <c r="G196" s="1"/>
      <c r="H196" s="1"/>
      <c r="I196" s="1"/>
      <c r="J196" s="1"/>
      <c r="K196" s="1"/>
      <c r="L196" s="1"/>
      <c r="M196" s="1"/>
      <c r="N196" s="1"/>
      <c r="O196" s="31"/>
      <c r="P196" s="26"/>
    </row>
    <row r="197" spans="5:16" x14ac:dyDescent="0.3">
      <c r="E197" s="27"/>
      <c r="F197" s="1"/>
      <c r="G197" s="1"/>
      <c r="H197" s="1"/>
      <c r="I197" s="1"/>
      <c r="J197" s="1"/>
      <c r="K197" s="1"/>
      <c r="L197" s="1"/>
      <c r="M197" s="1"/>
      <c r="N197" s="1"/>
      <c r="O197" s="31"/>
      <c r="P197" s="26"/>
    </row>
    <row r="198" spans="5:16" x14ac:dyDescent="0.3">
      <c r="E198" s="27"/>
      <c r="F198" s="1"/>
      <c r="G198" s="1"/>
      <c r="H198" s="1"/>
      <c r="I198" s="1"/>
      <c r="J198" s="1"/>
      <c r="K198" s="1"/>
      <c r="L198" s="1"/>
      <c r="M198" s="1"/>
      <c r="N198" s="1"/>
      <c r="O198" s="31"/>
      <c r="P198" s="26"/>
    </row>
    <row r="199" spans="5:16" x14ac:dyDescent="0.3">
      <c r="E199" s="27"/>
      <c r="F199" s="1"/>
      <c r="G199" s="1"/>
      <c r="H199" s="1"/>
      <c r="I199" s="1"/>
      <c r="J199" s="1"/>
      <c r="K199" s="1"/>
      <c r="L199" s="1"/>
      <c r="M199" s="1"/>
      <c r="N199" s="1"/>
      <c r="O199" s="31"/>
      <c r="P199" s="26"/>
    </row>
    <row r="200" spans="5:16" x14ac:dyDescent="0.3">
      <c r="E200" s="27"/>
      <c r="F200" s="1"/>
      <c r="G200" s="1"/>
      <c r="H200" s="1"/>
      <c r="I200" s="1"/>
      <c r="J200" s="1"/>
      <c r="K200" s="1"/>
      <c r="L200" s="1"/>
      <c r="M200" s="1"/>
      <c r="N200" s="1"/>
      <c r="O200" s="31"/>
      <c r="P200" s="26"/>
    </row>
    <row r="201" spans="5:16" x14ac:dyDescent="0.3">
      <c r="E201" s="27"/>
      <c r="F201" s="1"/>
      <c r="G201" s="1"/>
      <c r="H201" s="1"/>
      <c r="I201" s="1"/>
      <c r="J201" s="1"/>
      <c r="K201" s="1"/>
      <c r="L201" s="1"/>
      <c r="M201" s="1"/>
      <c r="N201" s="1"/>
      <c r="O201" s="31"/>
      <c r="P201" s="26"/>
    </row>
    <row r="202" spans="5:16" x14ac:dyDescent="0.3">
      <c r="E202" s="27"/>
      <c r="F202" s="1"/>
      <c r="G202" s="1"/>
      <c r="H202" s="1"/>
      <c r="I202" s="1"/>
      <c r="J202" s="1"/>
      <c r="K202" s="1"/>
      <c r="L202" s="1"/>
      <c r="M202" s="1"/>
      <c r="N202" s="1"/>
      <c r="O202" s="31"/>
      <c r="P202" s="26"/>
    </row>
    <row r="203" spans="5:16" x14ac:dyDescent="0.3">
      <c r="E203" s="27"/>
      <c r="F203" s="1"/>
      <c r="G203" s="1"/>
      <c r="H203" s="1"/>
      <c r="I203" s="1"/>
      <c r="J203" s="1"/>
      <c r="K203" s="1"/>
      <c r="L203" s="1"/>
      <c r="M203" s="1"/>
      <c r="N203" s="1"/>
      <c r="O203" s="31"/>
      <c r="P203" s="26"/>
    </row>
    <row r="204" spans="5:16" x14ac:dyDescent="0.3">
      <c r="E204" s="27"/>
      <c r="F204" s="1"/>
      <c r="G204" s="1"/>
      <c r="H204" s="1"/>
      <c r="I204" s="1"/>
      <c r="J204" s="1"/>
      <c r="K204" s="1"/>
      <c r="L204" s="1"/>
      <c r="M204" s="1"/>
      <c r="N204" s="1"/>
      <c r="O204" s="31"/>
      <c r="P204" s="26"/>
    </row>
    <row r="205" spans="5:16" x14ac:dyDescent="0.3">
      <c r="E205" s="27"/>
      <c r="F205" s="1"/>
      <c r="G205" s="1"/>
      <c r="H205" s="1"/>
      <c r="I205" s="1"/>
      <c r="J205" s="1"/>
      <c r="K205" s="1"/>
      <c r="L205" s="1"/>
      <c r="M205" s="1"/>
      <c r="N205" s="1"/>
      <c r="O205" s="31"/>
      <c r="P205" s="26"/>
    </row>
    <row r="206" spans="5:16" x14ac:dyDescent="0.3">
      <c r="E206" s="27"/>
      <c r="F206" s="1"/>
      <c r="G206" s="1"/>
      <c r="H206" s="1"/>
      <c r="I206" s="1"/>
      <c r="J206" s="1"/>
      <c r="K206" s="1"/>
      <c r="L206" s="1"/>
      <c r="M206" s="1"/>
      <c r="N206" s="1"/>
      <c r="O206" s="31"/>
      <c r="P206" s="26"/>
    </row>
    <row r="207" spans="5:16" x14ac:dyDescent="0.3">
      <c r="E207" s="27"/>
      <c r="F207" s="1"/>
      <c r="G207" s="1"/>
      <c r="H207" s="1"/>
      <c r="I207" s="1"/>
      <c r="J207" s="1"/>
      <c r="K207" s="1"/>
      <c r="L207" s="1"/>
      <c r="M207" s="1"/>
      <c r="N207" s="1"/>
      <c r="O207" s="31"/>
      <c r="P207" s="26"/>
    </row>
    <row r="208" spans="5:16" x14ac:dyDescent="0.3">
      <c r="E208" s="27"/>
      <c r="F208" s="1"/>
      <c r="G208" s="1"/>
      <c r="H208" s="1"/>
      <c r="I208" s="1"/>
      <c r="J208" s="1"/>
      <c r="K208" s="1"/>
      <c r="L208" s="1"/>
      <c r="M208" s="1"/>
      <c r="N208" s="1"/>
      <c r="O208" s="31"/>
      <c r="P208" s="26"/>
    </row>
    <row r="209" spans="5:16" x14ac:dyDescent="0.3">
      <c r="E209" s="27"/>
      <c r="F209" s="1"/>
      <c r="G209" s="1"/>
      <c r="H209" s="1"/>
      <c r="I209" s="1"/>
      <c r="J209" s="1"/>
      <c r="K209" s="1"/>
      <c r="L209" s="1"/>
      <c r="M209" s="1"/>
      <c r="N209" s="1"/>
      <c r="O209" s="31"/>
      <c r="P209" s="26"/>
    </row>
    <row r="210" spans="5:16" x14ac:dyDescent="0.3">
      <c r="E210" s="27"/>
      <c r="F210" s="1"/>
      <c r="G210" s="1"/>
      <c r="H210" s="1"/>
      <c r="I210" s="1"/>
      <c r="J210" s="1"/>
      <c r="K210" s="1"/>
      <c r="L210" s="1"/>
      <c r="M210" s="1"/>
      <c r="N210" s="1"/>
      <c r="O210" s="31"/>
      <c r="P210" s="26"/>
    </row>
    <row r="211" spans="5:16" x14ac:dyDescent="0.3">
      <c r="E211" s="27"/>
      <c r="F211" s="1"/>
      <c r="G211" s="1"/>
      <c r="H211" s="1"/>
      <c r="I211" s="1"/>
      <c r="J211" s="1"/>
      <c r="K211" s="1"/>
      <c r="L211" s="1"/>
      <c r="M211" s="1"/>
      <c r="N211" s="1"/>
      <c r="O211" s="31"/>
      <c r="P211" s="26"/>
    </row>
    <row r="212" spans="5:16" x14ac:dyDescent="0.3">
      <c r="E212" s="27"/>
      <c r="F212" s="1"/>
      <c r="G212" s="1"/>
      <c r="H212" s="1"/>
      <c r="I212" s="1"/>
      <c r="J212" s="1"/>
      <c r="K212" s="1"/>
      <c r="L212" s="1"/>
      <c r="M212" s="1"/>
      <c r="N212" s="1"/>
      <c r="O212" s="31"/>
      <c r="P212" s="26"/>
    </row>
    <row r="213" spans="5:16" x14ac:dyDescent="0.3">
      <c r="E213" s="27"/>
      <c r="F213" s="1"/>
      <c r="G213" s="1"/>
      <c r="H213" s="1"/>
      <c r="I213" s="1"/>
      <c r="J213" s="1"/>
      <c r="K213" s="1"/>
      <c r="L213" s="1"/>
      <c r="M213" s="1"/>
      <c r="N213" s="1"/>
      <c r="O213" s="20"/>
    </row>
    <row r="214" spans="5:16" x14ac:dyDescent="0.3">
      <c r="E214"/>
      <c r="F214"/>
      <c r="G214"/>
      <c r="H214"/>
      <c r="I214"/>
      <c r="J214"/>
      <c r="K214"/>
      <c r="L214"/>
      <c r="M214"/>
      <c r="N214"/>
      <c r="O214"/>
    </row>
    <row r="215" spans="5:16" x14ac:dyDescent="0.3">
      <c r="E215"/>
      <c r="F215"/>
      <c r="G215"/>
      <c r="H215"/>
      <c r="I215"/>
      <c r="J215"/>
      <c r="K215"/>
      <c r="L215"/>
      <c r="M215"/>
      <c r="N215"/>
      <c r="O215"/>
    </row>
    <row r="216" spans="5:16" x14ac:dyDescent="0.3">
      <c r="E216"/>
      <c r="F216"/>
      <c r="G216"/>
      <c r="H216"/>
      <c r="I216"/>
      <c r="J216"/>
      <c r="K216"/>
      <c r="L216"/>
      <c r="M216"/>
      <c r="N216"/>
      <c r="O216"/>
    </row>
    <row r="217" spans="5:16" x14ac:dyDescent="0.3">
      <c r="E217"/>
      <c r="F217"/>
      <c r="G217"/>
      <c r="H217"/>
      <c r="I217"/>
      <c r="J217"/>
      <c r="K217"/>
      <c r="L217"/>
      <c r="M217"/>
      <c r="N217"/>
      <c r="O217"/>
    </row>
    <row r="218" spans="5:16" x14ac:dyDescent="0.3">
      <c r="E218"/>
      <c r="F218"/>
      <c r="G218"/>
      <c r="H218"/>
      <c r="I218"/>
      <c r="J218"/>
      <c r="K218"/>
      <c r="L218"/>
      <c r="M218"/>
      <c r="N218"/>
      <c r="O218"/>
    </row>
    <row r="219" spans="5:16" x14ac:dyDescent="0.3">
      <c r="E219"/>
      <c r="F219"/>
      <c r="G219"/>
      <c r="H219"/>
      <c r="I219"/>
      <c r="J219"/>
      <c r="K219"/>
      <c r="L219"/>
      <c r="M219"/>
      <c r="N219"/>
      <c r="O219"/>
    </row>
    <row r="220" spans="5:16" x14ac:dyDescent="0.3">
      <c r="E220"/>
      <c r="F220"/>
      <c r="G220"/>
      <c r="H220"/>
      <c r="I220"/>
      <c r="J220"/>
      <c r="K220"/>
      <c r="L220"/>
      <c r="M220"/>
      <c r="N220"/>
      <c r="O220"/>
    </row>
    <row r="221" spans="5:16" x14ac:dyDescent="0.3">
      <c r="E221"/>
      <c r="F221"/>
      <c r="G221"/>
      <c r="H221"/>
      <c r="I221"/>
      <c r="J221"/>
      <c r="K221"/>
      <c r="L221"/>
      <c r="M221"/>
      <c r="N221"/>
      <c r="O221"/>
    </row>
    <row r="222" spans="5:16" x14ac:dyDescent="0.3">
      <c r="E222"/>
      <c r="F222"/>
      <c r="G222"/>
      <c r="H222"/>
      <c r="I222"/>
      <c r="J222"/>
      <c r="K222"/>
      <c r="L222"/>
      <c r="M222"/>
      <c r="N222"/>
      <c r="O222"/>
    </row>
    <row r="223" spans="5:16" x14ac:dyDescent="0.3">
      <c r="E223"/>
      <c r="F223"/>
      <c r="G223"/>
      <c r="H223"/>
      <c r="I223"/>
      <c r="J223"/>
      <c r="K223"/>
      <c r="L223"/>
      <c r="M223"/>
      <c r="N223"/>
      <c r="O223"/>
    </row>
    <row r="224" spans="5:16" x14ac:dyDescent="0.3">
      <c r="E224"/>
      <c r="F224"/>
      <c r="G224"/>
      <c r="H224"/>
      <c r="I224"/>
      <c r="J224"/>
      <c r="K224"/>
      <c r="L224"/>
      <c r="M224"/>
      <c r="N224"/>
      <c r="O224"/>
    </row>
    <row r="225" spans="5:15" x14ac:dyDescent="0.3">
      <c r="E225"/>
      <c r="F225"/>
      <c r="G225"/>
      <c r="H225"/>
      <c r="I225"/>
      <c r="J225"/>
      <c r="K225"/>
      <c r="L225"/>
      <c r="M225"/>
      <c r="N225"/>
      <c r="O225"/>
    </row>
    <row r="226" spans="5:15" x14ac:dyDescent="0.3">
      <c r="E226"/>
      <c r="F226"/>
      <c r="G226"/>
      <c r="H226"/>
      <c r="I226"/>
      <c r="J226"/>
      <c r="K226"/>
      <c r="L226"/>
      <c r="M226"/>
      <c r="N226"/>
      <c r="O226"/>
    </row>
  </sheetData>
  <sortState xmlns:xlrd2="http://schemas.microsoft.com/office/spreadsheetml/2017/richdata2" ref="O8:O78">
    <sortCondition ref="O7:O78"/>
  </sortState>
  <dataConsolidate function="count"/>
  <mergeCells count="1">
    <mergeCell ref="E6:P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12</vt:i4>
      </vt:variant>
      <vt:variant>
        <vt:lpstr>Rangos con nombre</vt:lpstr>
      </vt:variant>
      <vt:variant>
        <vt:i4>1</vt:i4>
      </vt:variant>
    </vt:vector>
  </HeadingPairs>
  <TitlesOfParts>
    <vt:vector size="13" baseType="lpstr">
      <vt:lpstr>Sopas</vt:lpstr>
      <vt:lpstr>Cremas</vt:lpstr>
      <vt:lpstr>Verduras</vt:lpstr>
      <vt:lpstr>Legumbres</vt:lpstr>
      <vt:lpstr>Huevos</vt:lpstr>
      <vt:lpstr>Arroces</vt:lpstr>
      <vt:lpstr>Pastas</vt:lpstr>
      <vt:lpstr>Carnes</vt:lpstr>
      <vt:lpstr>Pescados</vt:lpstr>
      <vt:lpstr>Postres</vt:lpstr>
      <vt:lpstr>Panes</vt:lpstr>
      <vt:lpstr>Otros</vt:lpstr>
      <vt:lpstr>Otros!Área_de_extracción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Álvaro Hernández Casamayor</dc:creator>
  <cp:lastModifiedBy>Álvaro Hernández Casamayor</cp:lastModifiedBy>
  <dcterms:created xsi:type="dcterms:W3CDTF">2025-02-24T21:32:25Z</dcterms:created>
  <dcterms:modified xsi:type="dcterms:W3CDTF">2026-01-11T21:54:57Z</dcterms:modified>
</cp:coreProperties>
</file>