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hidePivotFieldList="1"/>
  <mc:AlternateContent xmlns:mc="http://schemas.openxmlformats.org/markup-compatibility/2006">
    <mc:Choice Requires="x15">
      <x15ac:absPath xmlns:x15ac="http://schemas.microsoft.com/office/spreadsheetml/2010/11/ac" url="C:\Users\halva\Desktop\CocinaArguiñano\"/>
    </mc:Choice>
  </mc:AlternateContent>
  <xr:revisionPtr revIDLastSave="0" documentId="8_{9B9DE26D-A8AE-4C80-B67D-95CB779CAD22}" xr6:coauthVersionLast="47" xr6:coauthVersionMax="47" xr10:uidLastSave="{00000000-0000-0000-0000-000000000000}"/>
  <bookViews>
    <workbookView xWindow="-108" yWindow="-108" windowWidth="23256" windowHeight="13176" firstSheet="3" activeTab="4" xr2:uid="{B19CF87F-E904-44C5-84EA-252C73D4D583}"/>
  </bookViews>
  <sheets>
    <sheet name="Sopas" sheetId="7" r:id="rId1"/>
    <sheet name="Cremas" sheetId="12" r:id="rId2"/>
    <sheet name="Verduras" sheetId="1" r:id="rId3"/>
    <sheet name="Legumbres" sheetId="6" r:id="rId4"/>
    <sheet name="Huevos" sheetId="13" r:id="rId5"/>
    <sheet name="Arroces" sheetId="4" r:id="rId6"/>
    <sheet name="Pastas" sheetId="5" r:id="rId7"/>
    <sheet name="Carnes" sheetId="2" r:id="rId8"/>
    <sheet name="Pescados" sheetId="3" r:id="rId9"/>
    <sheet name="Postres" sheetId="8" r:id="rId10"/>
    <sheet name="Panes" sheetId="9" r:id="rId11"/>
    <sheet name="Otros" sheetId="14" r:id="rId12"/>
  </sheets>
  <definedNames>
    <definedName name="_xlnm._FilterDatabase" localSheetId="11" hidden="1">Otros!$E$8:$E$43</definedName>
    <definedName name="_xlnm.Extract" localSheetId="11">Otros!$P$8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 i="14" l="1" a="1"/>
  <c r="O8" i="14" s="1"/>
  <c r="N8" i="14" a="1"/>
  <c r="N8" i="14" s="1"/>
  <c r="M8" i="14" a="1"/>
  <c r="M8" i="14" s="1"/>
  <c r="L8" i="14" a="1"/>
  <c r="L8" i="14" s="1"/>
  <c r="K8" i="14" a="1"/>
  <c r="K8" i="14" s="1"/>
  <c r="J8" i="14" a="1"/>
  <c r="J8" i="14" s="1"/>
  <c r="I8" i="14" a="1"/>
  <c r="I8" i="14" s="1"/>
  <c r="H8" i="14" a="1"/>
  <c r="H8" i="14" s="1"/>
  <c r="G8" i="14" a="1"/>
  <c r="G8" i="14" s="1"/>
  <c r="F8" i="14" a="1"/>
  <c r="F8" i="14" s="1"/>
  <c r="E8" i="14" a="1"/>
  <c r="E8" i="14" s="1"/>
  <c r="E81" i="3"/>
  <c r="F1" i="9"/>
  <c r="E1" i="9"/>
  <c r="D1" i="9"/>
  <c r="A1" i="9"/>
  <c r="F1" i="8"/>
  <c r="E1" i="8"/>
  <c r="D1" i="8"/>
  <c r="A1" i="8"/>
  <c r="F1" i="3"/>
  <c r="E1" i="3"/>
  <c r="D1" i="3"/>
  <c r="A1" i="3"/>
  <c r="F1" i="2"/>
  <c r="E1" i="2"/>
  <c r="D1" i="2"/>
  <c r="A1" i="2"/>
  <c r="F1" i="5"/>
  <c r="E1" i="5"/>
  <c r="D1" i="5"/>
  <c r="A1" i="5"/>
  <c r="F1" i="4"/>
  <c r="E1" i="4"/>
  <c r="D1" i="4"/>
  <c r="A1" i="4"/>
  <c r="F1" i="13"/>
  <c r="E1" i="13"/>
  <c r="D1" i="13"/>
  <c r="A1" i="13"/>
  <c r="F1" i="6"/>
  <c r="E1" i="6"/>
  <c r="D1" i="6"/>
  <c r="A1" i="6"/>
  <c r="F1" i="1"/>
  <c r="E1" i="1"/>
  <c r="D1" i="1"/>
  <c r="A1" i="1"/>
  <c r="E1" i="12"/>
  <c r="F1" i="12"/>
  <c r="D1" i="12"/>
  <c r="A1"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<sst xmlns="http://schemas.openxmlformats.org/spreadsheetml/2006/main" count="2476" uniqueCount="482">
  <si>
    <t>Plato</t>
  </si>
  <si>
    <t>Página</t>
  </si>
  <si>
    <t>Elaboración</t>
  </si>
  <si>
    <t>Ingredientes</t>
  </si>
  <si>
    <t>Cantidades</t>
  </si>
  <si>
    <t>Unidades</t>
  </si>
  <si>
    <t>Salmorejo con guindillas fritas</t>
  </si>
  <si>
    <t>Lava los tomates, trocéalos, colócalos en un vaso americano y tritúralos bien. Cuela el puré y ponlo de nuevo en el vaso americano.
Agrega la miga de pan (troceada), el diente de ajo (pelado), sal (al gusto) y 100 ml de aceite. Tritura todo bien hasta conseguir una crema homogénea. Pasa el salmorejo a una jarra, introdúcelo en el frigorífico y deja que se enfríe bien.
Calienta abundante aceite en una sartén. Cuando esté bien caliente, añade las guindillas y fríelas durante 2 minutos por cada lado. Retíralas a un plato y sazónalas.
Sirve el salmorejo en cuatro platos y reparte encima (a un lado) las guindillas. Decora los platos con unas hojas de perejil.</t>
  </si>
  <si>
    <t>Tomate pera</t>
  </si>
  <si>
    <t>g</t>
  </si>
  <si>
    <t>Guindilla</t>
  </si>
  <si>
    <t>Miga de pan</t>
  </si>
  <si>
    <t>Diente de ajo</t>
  </si>
  <si>
    <t>uds</t>
  </si>
  <si>
    <t>Aceite de oliva</t>
  </si>
  <si>
    <t>Perejil</t>
  </si>
  <si>
    <t>Sal</t>
  </si>
  <si>
    <t>Sopa de cocido con tapioca</t>
  </si>
  <si>
    <t>Pon los garbanzos a remojo la víspera.
Escurre los garbanzos y colócalos en una red.
Pon a calentar 2 litros de agua en una olla rápida. Añade unas ramas de perejil, el muslo de pollo, el zancarrón, los huesos, el puerro (limpio y troceado), la cebolleta (pelada y troceada) y los dientes de ajo (pelados). Cuando el agua esté caliente, introduce los garbanzos, sazona, cierra la olla y cuece todo durante 20-25 minutos.
Retira las hortalizas, las carnes y los huesos. Cuela el caldo, desgrásalo y resérvalo.
Pica las carnes y resérvalas. Saca el tuétano de los huesos, unta con él las rebanadas de pan y sazónalas.
Pon el caldo a calentar. Cuando empiece a hervir, añade la tapioca y cuécela durante el tiempo que indique el paquete. Agrega la mitad de los garbanzos (reserva el resto para otra ocasión), las carnes (pollo y zancarrón) picadas y un poco de perejil picado.
Reparte la sopa en 4 platos hondos, acompáñalos con las tostadas con tuétano y adórnalos con unas hojas de perejil.</t>
  </si>
  <si>
    <t>Garbanzos</t>
  </si>
  <si>
    <t>Muslo de pollo</t>
  </si>
  <si>
    <t>Zancarrón</t>
  </si>
  <si>
    <t>Hueso de cañada</t>
  </si>
  <si>
    <t>Puerro</t>
  </si>
  <si>
    <t>Cebolla</t>
  </si>
  <si>
    <t>Picatostes</t>
  </si>
  <si>
    <t>Tapioca</t>
  </si>
  <si>
    <t>Sopa de udon con pollo</t>
  </si>
  <si>
    <t>Maja en el mortero los ajos (pelados), incorpora la pimienta, las hojas de cilantro y una pizca de sal y maja todo. Agrega el vinagre y la salsa de soja, mezcla y reserva.
Calienta una cazuela con 2-3 cucharadas de aceite. Corta la cebolleta en dados, añádela a la cazuela y ponla a rehogar a fuego suave. Limpia el puerro, córtalo en cuartos de luna y añádelo. Pela la zanahoria, córtala de la misma manera e incorpórala. Retira el tallo y las semillas del pimiento verde, córtalo en dados y agrégalo. Pela el pimiento rojo, córtalo en dados y añádelo. Lava la rama de apio, córtala en dados e incorpórala. Sazona y cocina las hortalizas a fuego suave durante unos 5 minutos. Retira las hortalizas, pásalas a una fuente y resérvalas.
Agrega 1 cucharada más de aceite a la cazuela. Corta la pechuga de pollo en dados, sazónala, añádela a la cazuela y rehógala hasta que se dore. Agrega las hortalizas reservadas, cúbrelas con abundante agua y desmenuza encima la pastilla de caldo. Incorpora el udón y el majado. Ralla encima un poco de nuez moscada y cocina todo durante 7-8 minutos.
Reparte la sopa en platos hondos y decóralos con unas hojas de perejil.</t>
  </si>
  <si>
    <t>Fideos udon</t>
  </si>
  <si>
    <t>Pechuga de pollo</t>
  </si>
  <si>
    <t>Salsa de soja</t>
  </si>
  <si>
    <t>mL</t>
  </si>
  <si>
    <t>Zanahoria</t>
  </si>
  <si>
    <t>Pimiento verde</t>
  </si>
  <si>
    <t>Pimiento rojo</t>
  </si>
  <si>
    <t>Rama de apio</t>
  </si>
  <si>
    <t>Pastilla de caldo de pollo</t>
  </si>
  <si>
    <t>Vinagre blanco</t>
  </si>
  <si>
    <t>Cilantro</t>
  </si>
  <si>
    <t>Pimienta negra</t>
  </si>
  <si>
    <t>Nuez moscada</t>
  </si>
  <si>
    <t>Crema de calabacín</t>
  </si>
  <si>
    <t>Pela la cebolla, retira el tallo y las semillas del pimiento, córtalos en dados y ponlos a rehogar en una cazuela con 2-3 cucharadas de aceite.
Limpia bien los calabacines, corta ½ calabacín en dados y resérvalo. Corta el resto en cuartos de luna e incorpóralos a la cazuela. Rehoga durante 4-5 minutos y agrega el caldo y el arroz. Salpimienta y cuece todo durante 20-25 minutos.
Mientras tanto, calienta 2 cucharadas de aceite en una sartén y saltea en ella los dados de calabacín. Resérvalos.
Corta las láminas de pasta brick en 4, pon una pequeña porción de huevas sobre cada trozo y envuélvelas hasta conseguir 8 paquetitos. Fríelos por los dos lados en una sartén con abundante aceite caliente, retíralos, escúrrelos sobre un plato cubierto con papel absorbente y resérvalos.
Retira del fuego la cazuela con las hortalizas y el arroz y tritura todo con una batidora eléctrica. Incorpora la leche evaporada y mezcla bien.
Reparte la crema y los dados de calabacín en 4 platos hondos. Acompaña las cremas con los paquetitos de pasta brick y adorna los platos con unas hojas de perejil.</t>
  </si>
  <si>
    <t>Calabacín</t>
  </si>
  <si>
    <t>Caldo de verduras</t>
  </si>
  <si>
    <t>Arroz</t>
  </si>
  <si>
    <t>cuch</t>
  </si>
  <si>
    <t>Láminas de pasta brick</t>
  </si>
  <si>
    <t>Leche evaporada</t>
  </si>
  <si>
    <t>Huevas de trucha</t>
  </si>
  <si>
    <t>Pimienta</t>
  </si>
  <si>
    <t>Sopa fría de zanahoria</t>
  </si>
  <si>
    <t>Calienta 1.250 ml de agua en una olla rápida. Pela las zanahorias, introdúcelas en la olla, sazónalas, cierra la olla y cuécelas durante 4 minutos. Retíralas, escúrrelas y deja que se enfríen. Reserva por separado el agua de la cocción.
Trocea las zanahorias y ponlas en el vaso americano, agrega la manzana (pelada y troceada), el comino, parte del agua de la cocción (según tus preferencias: más ligera o más espesa) y el vinagre. Tritura todo hasta conseguir una crema homogénea. Añade el aceite poco a poco y sigue triturando hasta que emulsione. Pon a punto de sal, introduce la sopa en el frigorífico y deja que se enfríe bien.
Para preparar la guarnición, corta la cebolleta, el pimiento y el jamón en daditos, y los tomates, en cuartos.
Reparte la sopa en 4 platos hondos, salpica los platos con la guarnición y decóralos con unas hojas de perejil.</t>
  </si>
  <si>
    <t>Manzana</t>
  </si>
  <si>
    <t>Jamón</t>
  </si>
  <si>
    <t>Vinagre</t>
  </si>
  <si>
    <t>Comino</t>
  </si>
  <si>
    <t>Albóndigas de hortalizas</t>
  </si>
  <si>
    <t>Lava las patatas, ponlas en una cazuela, cúbrelas con agua y cuécelas durante 30-35 minutos (contados desde el momento en que el agua empiece a hervir). Retíralas y deja que se templen.
Para la salsa, calienta una cazuela con 3 cucharadas de aceite. Pela 2 dientes de ajo y la cebolla, córtalos en dados y añádelos a la cazuela. Retira la parte inferior, superior y 2-3 capas del puerro, lávalo, córtalo en cuartos de luna e incorpóralo a la cazuela. Pela 2 zanahorias, córtalas de la misma manera y agrégalas. Sazona y cocina las hortalizas a fuego suave-medio durante 15 minutos. Agrega la cucharada de harina y rehógala bien. Vierte encima el vino y dale un hervor. Añade 300 ml de agua y cocina todo durante 10 minutos. Tritura con una batidora eléctrica hasta conseguir una salsa homogénea. Resérvala y caliéntala un poco en el momento de servir.
Lava el calabacín, córtalo en daditos y ponlo a rehogar en una sartén con 3 cucharadas de aceite. Pela la otra zanahoria, rállala y agrégala. Pela el otro diente de ajo, córtalo en daditos e incorpóralo. Sazona y cocina las hortalizas a fuego suave-medio durante 10 minutos. Escúrrelas bien y resérvalas.
Pela las patatas, ponlas en un bol y aplástalas con un machacador de patatas. Sazónalas, agrega las hortalizas (calabacín, zanahoria y ajo) escurridas y mezcla bien. Añade el pan rallado poco a poco, sin dejar de mezclar, hasta conseguir una masa homogénea.
Coge pequeñas porciones de masa, redondéalas y forma las albóndigas. Pásalas por harina y fríelas en una sartén con abundante aceite. Escúrrelas sobre una fuente cubierta con papel absorbente.
Sirve la salsa en la base de los platos y coloca encima 3-4 albóndigas. Decora los platos con polvo de perejil y unas hojas de perejil.</t>
  </si>
  <si>
    <t>Patata</t>
  </si>
  <si>
    <t>Harina</t>
  </si>
  <si>
    <t>Vino blanco</t>
  </si>
  <si>
    <t>Pan rallado</t>
  </si>
  <si>
    <t>Berenjenas rellenas con bechamel de queso azul</t>
  </si>
  <si>
    <t>Calienta una cazuela grande con abundante agua y sazónala. Corta las berenjenas por la mitad a lo largo, agrégalas y cuécelas durante 15 minutos. Retíralas, escúrrelas, sécalas bien y vacíalas sin romperles la piel. Corta la pulpa en daditos y resérvala. Reserva también las 4 cáscaras.
Pela los dientes de ajo y córtalos en daditos. Pela la zanahoria y córtala del mismo modo. Lava el pimiento, retírale el tallo y las semillas y córtalo también en daditos. Pon las hortalizas a rehogar en una sartén con 3 cucharadas de aceite, sazónalas y cocínalas durante 6-8 minutos.
Pica la carne de pavo, salpimiéntala, incorpórala a la sartén y cocínala brevemente. Agrega la pulpa de las berenjenas y cocina conjuntamente durante 5 minutos. Rellena las cáscaras de berenjena con la farsa y resérvalas.
Para preparar la bechamel, calienta el aceite, añade la harina y cocínala un poco. Agrega la leche poco a poco, sin dejar de remover hasta que los ingredientes queden bien integrados. Sazona y cocina la bechamel durante 6-8 minutos sin dejar de remover. Cuando esté casi a punto, añade el queso azul y cocina hasta que quede integrado en la bechamel.
Napa las berenjenas con la bechamel de queso, introdúcelas en el horno y gratínalas (3-5 minutos) hasta que se doren.
Sirve media berenjena en cada plato y adórnalos con unas hojas de perejil.</t>
  </si>
  <si>
    <t>Berenjena</t>
  </si>
  <si>
    <t>Pechuga de pavo</t>
  </si>
  <si>
    <t>Queso azul</t>
  </si>
  <si>
    <t>Leche</t>
  </si>
  <si>
    <t>Pastel de patatas, jamón cocido y panceta</t>
  </si>
  <si>
    <t>Casca los huevos y ponlos en un bol. Agrega la leche y un poco de perejil picado y salpimienta. Pela las patatas cocidas, trocéalas y añádelas. Mezcla bien y reserva.
Corta la panceta y el jamón en dados y saltéalos en una sartén con 2 cucharadas de aceite. Retíralos, escúrrelos y añádelos al bol de los huevos con patata.
Unta un molde con mantequilla y espolvoréalo con un poco de harina. Vierte en él la mezcla anterior y hornea a 180 ºC durante 30 minutos. Retira el pastel y deja que se temple un poco.
Desmolda el pastel, sírvelo y acompáñalo con la salsa de tomate. Adorna los platos con unas hojas de perejil.</t>
  </si>
  <si>
    <t>Jamón cocido</t>
  </si>
  <si>
    <t>Panceta</t>
  </si>
  <si>
    <t>Huevo</t>
  </si>
  <si>
    <t>Mantequilla</t>
  </si>
  <si>
    <t>Tomate frito</t>
  </si>
  <si>
    <t>Pastel de calabacín al horno</t>
  </si>
  <si>
    <t>Extiende 1 cucharada de aceite sobre un recipiente o molde rectangular apto para el horno. Coloca un trozo de papel de hornear a lo largo del recipiente, dejando una pestaña por cada lado. Úntalo con otra cucharada de aceite, espolvoréalo con las 2 cucharadas de harina y espárcela bien.
Pela las cebollas, córtalas en juliana fina y rehógalas durante 6-8 minutos en una sartén con 4-5 cucharadas de aceite.
Lava los calabacines (déjalos con piel), córtalos en medias lunas e incorpóralos a la sartén. Sazona y cocina todo conjuntamente durante unos 15 minutos. Escurre bien y reserva.
Casca los huevos y ponlos en un bol grande. Agrega la leche, la nata, el orégano y una pizca de sal y bate todo bien. Incorpora al bol la farsa de cebolla y calabacín y mezcla suavemente.
Vierte la mezcla en el recipiente apto para el horno, espolvoréala con el queso y hornea a 180 ºC durante 30 minutos. Retira el pastel del horno y deja que se temple.
Desmolda el pastel, córtalo en porciones y sirve. Acompaña cada ración con un poco de salsa de tomate caliente. Decora los platos con unas hojas de perejil.</t>
  </si>
  <si>
    <t>Nata</t>
  </si>
  <si>
    <t>Queso rallado</t>
  </si>
  <si>
    <t>Orégano</t>
  </si>
  <si>
    <t>Alubias blancas con butifarra</t>
  </si>
  <si>
    <t>La víspera, pon las alubias blancas en un bol grande, cúbrelas con agua, introdúcelas en el frigorífico y déjalas a remojo. Escúrrelas, ponlas en una olla rápida y cúbrelas con agua.
Limpia el puerro (retírale la parte inferior, la superior y la primera capa y enjuágalo), córtalo en 3-4 trozos y ponlo en una red de cocer legumbres. Pela la cebolla y agrégala a la red. Cierra la red e introdúcela en la olla junto con el laurel. Sazona, cierra la olla y cuece las alubias durante 3 minutos. Escurre las alubias y resérvalas. En el momento de servir, saca las hortalizas de la red, córtalas un poco y ponlas en una fuente. Sazónalas y riégalas con un chorrito de aceite.
Calienta una sartén grande con 3 cucharadas de aceite. Pincha las butifarras con una puntilla (cuchillo pequeño), colócalas en la sartén y cocínalas a fuego medio durante 3-4 minutos por cada lado. Retíralas y resérvalas en un plato. A la hora de servir, córtalas en rodajas gruesas.
Agrega las alubias escurridas a la sartén donde has cocinado las butifarras y saltéalas durante 2 minutos.
Sirve en cada plato una buena porción de alubias y unas rodajas de butifarra. Acompaña con el puerro y la cebolla y adorna los platos con unas hojas de perejil.</t>
  </si>
  <si>
    <t>Alubias blancas</t>
  </si>
  <si>
    <t>Butifarra blanca</t>
  </si>
  <si>
    <t>Laurel</t>
  </si>
  <si>
    <t>Chícaros con codillo</t>
  </si>
  <si>
    <t>Calienta 3-4 cucharadas de aceite en una olla rápida. Pela los dientes de ajo, córtalos en dados y añádelos a la olla. Pela la cebolla, córtala en daditos y agrégala. Retira el tallo y las semillas del pimiento, córtalo de la misma manera e incorpóralo. Sazona y cocina las hortalizas a fuego suave durante 10 minutos. Agrega la salsa de tomate y cocina durante 4-5 minutos más.
Calienta 1 cucharada de aceite en una sartén. Corta los chorizos en rodajas y la panceta en trozos de 1 cm, añádelos a la sartén y dóralos bien. Incorpóralos (sin grasa) a la olla.
Pela la calabaza y córtala en trozos de bocado. Pela las patatas y trocéalas (cascándolas). Agrégalas (calabaza y patatas) a la olla. Añade también los chícharos, el codillo, el laurel, el pimentón y el comino. Cubre todo con agua, cierra la olla y cocina los ingredientes a fuego suave-medio durante 15 minutos.
Abre la olla, retira el codillo y córtalo en 6 trozos.
Reparte el guiso en 6 platos y pon un trozo de codillo en cada uno. Adórnalos con unas hojas de perejil.</t>
  </si>
  <si>
    <t>Chícharos</t>
  </si>
  <si>
    <t>Codillo de cerdo</t>
  </si>
  <si>
    <t>Chorizo</t>
  </si>
  <si>
    <t>Calabaza</t>
  </si>
  <si>
    <t>Pimentón</t>
  </si>
  <si>
    <t>Lentejas con chorizo y panceta</t>
  </si>
  <si>
    <t>Pon la panceta en una olla rápida, cúbrela con agua, sazónala, cierra la olla y cuécela durante 30 minutos. Retírala y deja que se enfríe.
Calienta 2-3 cucharadas de aceite en una cazuela. Pela la cebolleta y la zanahoria y limpia bien el puerro (retírale la parte inferior, la superior y 1-2 capas de hojas y enjuágalo). Corta la cebolleta en dados, y la zanahoria y el puerro, en cuartos de luna finos. Agrega las hortalizas a la cazuela, sazónalas y cocínalas a fuego suave-medio durante 8-10 minutos.
Corta el chorizo en 4 trozos e incorpóralo a la cazuela. Agrega las lentejas, cúbrelas con abundante agua (3-4 veces más que de lentejas), sazónalas y cuécelas a fuego suave durante 40-45 minutos. Añade el pimentón y mezcla bien.
Calienta una sartén sin aceite. Corta la panceta en 4 trozos, ponlos en la sartén y dóralos por los dos lados.
Sirve las lentejas con chorizo en 4 platos y coloca un trozo de panceta en cada uno. Adorna los platos con unas hojas de perejil.</t>
  </si>
  <si>
    <t>Lentejas</t>
  </si>
  <si>
    <t>Alubias con panceta asada</t>
  </si>
  <si>
    <t>Sazona la panceta, colócala en un recipiente apto para el horno, riégala con un chorro de aceite y ásala en el horno a 170 ºC durante 30 minutos. Sube la temperatura a 190 ºC y hornéala durante otros 10 minutos más. Retírala y córtala en 4 trozos.
Pela la cebolleta y córtala en daditos. Limpia los puerros (retirándoles la parte inferior, la superior y 1-2 capas), enjuágalos bien y córtalos en daditos. Pela la zanahoria y córtala de la misma manera. Calienta 2 cucharadas de aceite en una olla rápida, agrega las hortalizas, sazónalas y rehógalas durante 10 minutos. Pela el tomate, pícalo finamente e incorpóralo. Cocina conjuntamente durante 6-8 minutos.
Agrega las alubias, cúbrelas con agua y sazónalas. Tapa y cierra la olla y cuécelas durante unos 15 minutos.
Calienta agua en una cazuela, introduce en ella la morcilla y cuécela a fuego suave durante 30 minutos (15 por cada lado). Retírala y córtala en 4 trozos.
Reparte las alubias en 4 platos y pon encima de cada uno 1 trozo de morcilla y 1 trozo de panceta. Decora los platos con unas hojas de perejil.</t>
  </si>
  <si>
    <t>Alubias negras</t>
  </si>
  <si>
    <t>Tomate</t>
  </si>
  <si>
    <t>Morcilla de verduras</t>
  </si>
  <si>
    <t>Alubias con chorizo y arroz integral</t>
  </si>
  <si>
    <t>Pon las alubias a remojo la víspera.
Escurre las alubias y ponlas en una olla rápida, corta el chorizo en 8 trozos y añádelos. Pela la cebolleta y 2 dientes de ajo, córtalos en daditos e incorpóralos. Sazona, agrega 1 cucharada de aceite y el pimentón y añade agua hasta cubrir. Cierra la olla y cocina las alubias durante 15 minutos.
Pela los otros 2 dientes de ajo y dóralos en una cazuela con 2 cucharadas de aceite. Añade el arroz, sazónalo, cúbrelo con agua (el triple que de arroz) y cuécelo durante 30 minutos.
Reparte las alubias con chorizo y el arroz en 4 platos. Adórnalos con unas hojas de perejil.</t>
  </si>
  <si>
    <t>Arroz integral</t>
  </si>
  <si>
    <t>Garbanzos con panceta ibérica</t>
  </si>
  <si>
    <t>Pon los garbanzos a remojar la víspera. Calienta abundante agua en la olla rápida. Introduce los garbanzos (escurridos), la panceta y los granos de pimienta negra. Sazona, cierra la olla y cuece todo durante 20 minutos.
Retira la panceta, córtala en dados y resérvala. Retira los garbanzos, escúrrelos y resérvalos.
Pela los dientes de ajo y la cebolleta, córtalos en daditos y rehógalos en una sartén grande con 4 cucharadas de aceite durante 10 minutos. Incorpora los garbanzos, sazónalos y saltéalos.
Calienta otra sartén, agrega 1 cucharada de aceite y los dados de panceta ibérica y cocínalos hasta que se doren un poco.
Reparte los garbanzos y los dados de panceta en 4 platos. Adórnalos con unas hojas de perejil.</t>
  </si>
  <si>
    <t>Lentejas con zanahorias y cúrcuma</t>
  </si>
  <si>
    <t>Pon a calentar abundante agua en una olla rápida e introduce en ella las lentejas.
Pela la cebolla, córtala en 4 y ponla en una red para cocer legumbres. Limpia el puerro (retírale la parte inferior, la superior y 1-2 capas de hojas y enjuágalo), córtalo en 4 e introdúcelo en la red. Lava el tomate, córtalo en 4 y añádelo. Pela el diente de ajo y agrégalo. Agrega también la hoja de laurel. Cierra la red e introdúcela en la olla.
Sazona, cierra la olla y cocina las lentejas a fuego medio durante 15-20 minutos.
Retira la red, ábrela, retira el laurel, pasa las hortalizas a un vaso batidor y tritúralas con una batidora eléctrica hasta conseguir un puré homogéneo. Incorpóralo a la olla y remuévela hasta que los ingredientes queden bien integrados.
Pela las zanahorias y córtalas en rodajas finas. Calienta una sartén con 2-3 cucharadas de aceite, añade las zanahorias y saltéalas durante 4-5 minutos. Agrega la cúrcuma y una pizca de sal y saltea brevemente (1 minuto), hasta que la cúrcuma impregne las zanahorias.
Reparte las lentejas en 4 platos y coloca una porción de zanahorias en cada plato. Decóralos con unas hojas de perejil.</t>
  </si>
  <si>
    <t>Cúrcuma</t>
  </si>
  <si>
    <t>Falafel con salsa de yogur</t>
  </si>
  <si>
    <t>Calienta agua en una olla rápida. Cuando empiece a hervir, introduce los garbanzos, sazónalos, cierra la olla y cuécelos durante 15 minutos. Escúrrelos y resérvalos.
Pela la cebolla y el diente de ajo, pícalos finamente y rehógalos durante 5-6 minutos en una sartén con 2 cucharadas de aceite.
Pasa los garbanzos y las hortalizas (escurridas) por el pasapurés sobre un bol grande. Agrega el perejil picado, el cilantro, el comino, la pimienta y una pizca de sal y mezcla bien. Incorpora la harina de garbanzo y mezcla bien, hasta conseguir una masa homogénea.
Divide la masa en pequeñas porciones y redondéalas. Fríelas en un cazo con abundante aceite hasta que se doren. Retíralas y escúrrelas sobre un plato cubierto con papel absorbente.
Para preparar la salsa de yogur, ralla el ajo (o pícalo finamente), ponlo en un bol, agrega el yogur, el zumo de limón, la ralladura, el perejil, la pimienta y la sal y mezcla bien.
Sirve el falafel y acompáñalo con la salsa de yogur. Adorna los platos con unas hojas de perejil.</t>
  </si>
  <si>
    <t>Harina de garbanzo</t>
  </si>
  <si>
    <t>Cebolla dulce</t>
  </si>
  <si>
    <t>Yogur griego natural</t>
  </si>
  <si>
    <t>Limón</t>
  </si>
  <si>
    <t>Ralladura de limón</t>
  </si>
  <si>
    <t>Guiso del maestro</t>
  </si>
  <si>
    <t>La víspera, pon los garbanzos a remojo.
Calienta abundante agua en una olla rápida. Agrega los garbanzos (escurridos), el hueso de jamón, el laurel y 2 dientes de ajo (sin pelar) golpeados. Pela 1 cebolla y añádela. Cierra la olla y cuece los garbanzos durante 20 minutos. Reserva el caldo y los garbanzos.
Calienta 3 cucharadas de aceite en una cazuela baja. Pela los otros 2 dientes de ajo, pícalos (dados o láminas) y agrégalos a la cazuela. Pela la otra cebolla, córtala en daditos y añádela. Cocina las hortalizas durante 6-8 minutos a fuego suave.
Corta el jamón en dados, incorpóralo y rehógalo brevemente (1 minuto). Vierte encima el vino y dale un hervor rápido para que se evapore el alcohol. Agrega la salsa de tomate y los fideos y mezcla bien. Añade 600 ml del caldo reservado y cocina los fideos durante unos 8 minutos.
Incorpora los garbanzos y cuece todo junto durante 4-5 minutos más. Agrega un poco de perejil picado y remueve la cazuela.
Sirve y adorna los platos con unas hojas de perejil.</t>
  </si>
  <si>
    <t>Fideos</t>
  </si>
  <si>
    <t>Hueso de jamón</t>
  </si>
  <si>
    <t>Huevos escoceses</t>
  </si>
  <si>
    <t>Calienta agua en un cazo, introduce en él los huevos de codorniz y cuécelos durante 4 minutos. Retíralos, refréscalos, pélalos y resérvalos.
Corta la cebolla en daditos y ponla en un bol. Agrega las carnes, las yemas de huevo y la cucharada de pan rallado. Pela la manzana, rállala e incorpórala. Agrega también el kétchup y el jengibre rallado. Salpimienta y mezcla bien hasta que los ingredientes queden perfectamente integrados.
Divide la mezcla en 8 porciones. Coge una porción de carne, extiéndela un poco, pon un huevo de codorniz en el centro y envuélvelo con la carne hasta taparlo y formar una albóndiga. Repite el proceso con el resto de la carne y de los huevos.
Pásalos por harina, huevo y pan rallado y fríelos en una sartén con abundante aceite a fuego medio durante unos 5 minutos. Retíralos y escúrrelos sobre una fuente cubierta con papel absorbente.
Aliña la escarola con aceite, vinagre y sal.
Sirve en cada plato 2 huevos escoceses y una porción de escarola. Acompáñalos con la mostaza y adorna los platos con unas hojas de perejil.</t>
  </si>
  <si>
    <t>Huevos de codorniz</t>
  </si>
  <si>
    <t>Carne picada</t>
  </si>
  <si>
    <t>Kétchup</t>
  </si>
  <si>
    <t>Jengibre</t>
  </si>
  <si>
    <t>Mezcla rebozar</t>
  </si>
  <si>
    <t>Mostaza</t>
  </si>
  <si>
    <t>Huevos napoleón</t>
  </si>
  <si>
    <t>Corta el pan en dados, ponlos en una bandeja de horno y hornéalos a 220 ºC, hasta que se doren. Retíralos y resérvalos.
Pela los dientes de ajo, pícalos y ponlos a dorar en una sartén con 3-4 cucharadas de aceite. Corta las cebolletas en juliana y añádelas. Retira el tallo y las semillas de los pimientos, córtalos en dados grandes y agrégalos. Sazona y cocina las hortalizas durante 10-15 minutos.
Reparte en 4 recipientes aptos para el horno las hortalizas y, encima, los dados de pan tostados y el queso. Casca los huevos, pon 2 en cada recipiente y sazónalos. Introdúcelos en el horno a 180 ºC durante unos 8 minutos.
Sirve y decora con unas hojas de perejil.</t>
  </si>
  <si>
    <t>Rebanada de pan</t>
  </si>
  <si>
    <t>Queso gratinar</t>
  </si>
  <si>
    <t>Rollitos de tortilla, queso y panceta</t>
  </si>
  <si>
    <t>Pela el diente de ajo y la cebolla, córtalos en dados y ponlos a rehogar en una cazuela con 3-4 cucharadas de aceite. Retira el tallo y las semillas del pimiento, córtalo de la misma manera y agrégalo. Sazona y cocina las hortalizas durante 10 minutos. Agrega 250 ml de agua y deja que reduzca durante 10 minutos. Tritura los ingredientes con una batidora eléctrica hasta conseguir una salsa homogénea y resérvala.
Casca 1 huevo, ponlo en un bol, sazónalo, añade un poco de perejil picado y bátelo. Calienta una sartén pequeña con unas gotas de aceite, vierte en ella el huevo y cuaja una tortilla (a modo de crepe). Repite el proceso con el resto de los huevos.
Fríe las lonchas de panceta (sin que se doren) en una sartén con una gotita de aceite. Retíralas a un plato y resérvalas.
Corta 8 bastones de queso y ralla el resto.
Extiende las tortillas, pon 1 bastón de queso en uno de los lados de cada una y enróllalas alrededor. Envuelve cada tortilla con 1 loncha de panceta y coloca los rollitos sobre una bandeja o fuente apta para el horno. Espolvoréalos con el queso rallado y gratínalos en el horno hasta que se doren un poco.
Sirve la salsa en el fondo de 4 platos y coloca encima 2 rollitos en cada uno. Adorna los platos con unas hojas de perejil.</t>
  </si>
  <si>
    <t>Queso</t>
  </si>
  <si>
    <t>Lonchas panceta</t>
  </si>
  <si>
    <t>Huevos teresita</t>
  </si>
  <si>
    <t>Pon agua a calentar en un cazo, introduce los huevos y cuécelos durante 10 minutos desde el momento en que el agua empiece a hervir (para que las yemas queden centradas, remuévelos circularmente con una cuchara de madera). Retíralos, refréscalos, pélalos y córtalos por la mitad. Separa las yemas de las claras y resérvalas por separado.
Calienta agua en una cazuela y, cuando empiece a hervir, agrega los guisantes. Sazónalos y cuécelos durante 10-15 minutos (según tamaño).
Para el relleno, pela los ajos, pícalos, ponlos en el mortero y májalos bien. Añade las yemas, 1 cucharada de perejil picado y una pizca de sal. Maja de nuevo hasta conseguir una pasta homogénea (si queda muy seca, puedes añadir un poco de agua).
Rellena las claras de huevo con el majado y dóralas (en tandas) boca abajo en una sartén con 2-3 cucharadas de aceite caliente. Cuando estén selladas, retíralas y resérvalas.
Corta el jamón en daditos y ponlo a dorar en una tartera (cazuela amplia y baja) con 3 cucharadas de aceite. Cuando coja un poco de color, añade la harina, rehógala un poco y agrega el pimentón. Incorpora el caldo, los guisantes y los huevos (boca abajo). Tapa la tartera y cocínalos en la salsa durante 6-8 minutos.
Con ayuda de un cortapastas redondo (pequeño), corta 4 círculos de cada rebanada de pan. Calienta abundante aceite en una sartén y fríe en él 1 rebanada de pan y 4 círculos por los 2 lados. Retíralos y escúrrelos sobre una fuente cubierta con papel absorbente. Repite el proceso con las otras 3 rebanadas de pan y los 12 círculos.
Pon las rebanadas de pan en 4 platos, coloca las claras rellenas en los huecos y salsea. Adorna los platos con unas hojas de perejil y los círculos de pan frito.</t>
  </si>
  <si>
    <t>Guisantes</t>
  </si>
  <si>
    <t>Caldo de ave</t>
  </si>
  <si>
    <t>Arroz al horno</t>
  </si>
  <si>
    <t>Lava los tomates, pela uno y córtalo en dados. Corta los otros 2 por la mitad.
Calienta una tartera (cazuela amplia y plana) apta para el horno con 3 cucharadas de aceite. Añade los dados de tomate, la cabeza de ajos entera y los tomates cortados a la mitad y cocínalos durante 3-4 minutos. Pela las patatas, córtalas en rodajas de 1 cm, agrégalas y sazónalas.
Incorpora el arroz y rehógalo brevemente. Añade los garbanzos, el caldo caliente, las hebras de azafrán y el pimentón. Sazona y cocina el arroz a fuego fuerte durante 6-8 minutos. Introduce la tartera en el horno y hornea el arroz a 200 ºC durante 12-14 minutos.
Retira la tartera del horno y sirve. Adorna los platos con unas hojas de perejil.</t>
  </si>
  <si>
    <t>Cabeza de ajos</t>
  </si>
  <si>
    <t>Azafrán</t>
  </si>
  <si>
    <t>Arroz con costilla de cerdo</t>
  </si>
  <si>
    <t>Calienta agua en la olla y sazónala. Limpia el puerro (retírale la parte inferior, la superior y 1-2 capas y enjuágalo), trocéalo e introdúcelo en la olla. Agrega la costilla, cierra la olla y cuécela durante 10-15 minutos. Retírala, escúrrela y salpimiéntala.
Calienta 3-4 cucharadas de aceite en una tartera (cazuela amplia y baja), añade los trozos de costilla y rehógala hasta que esté bien dorada. Retírala a un plato y resérvala.
Pela la cebolleta, el pimiento rojo y los ajos, córtalos en daditos y agrégalos a la tartera. Sazona y cocina las hortalizas a fuego suave-medio durante 10-15 minutos. Incorpora el arroz y rehógalo brevemente. Añade el pimentón, la costilla y agua caliente (el doble y un poco más que de arroz) y cocina todo durante 20 minutos.
Sirve el arroz y adorna los platos con unas hojas de perejil.</t>
  </si>
  <si>
    <t>Costilla de cerdo</t>
  </si>
  <si>
    <t>Pasteles de arroz, zanahorias y panceta</t>
  </si>
  <si>
    <t>Pon agua a hervir en una olla rápida, añade el arroz y sazónalo. Cierra la olla, cuécelo durante 5 minutos, escúrrelo y resérvalo.
Pela las zanahorias y cuécelas durante 15 minutos en una cazuela con agua y una pizca de sal. Resérvalas.
Pela la cebolla y los dientes de ajo, córtalos en dados y rehógalos durante 8-10 minutos a fuego suave en una sartén con 3 cucharadas de aceite. Corta la panceta en dados, añádela y cocínala hasta que se dore.
Pon los huevos en un bol y bátelos. Agrega la leche y bate de nuevo. Incorpora las hortalizas con la panceta y el arroz y mezcla bien. Corta las zanahorias en rodajas y añádelas. Mezcla con cuidado, reparte la mezcla en 4 recipientes individuales aptos para el horno y hornéalos a 200 ºC durante 12 minutos.
Sirve los pasteles y adórnalos con unas hojas de perejil.</t>
  </si>
  <si>
    <t>Croquetas de arroz con pollo y espinacas</t>
  </si>
  <si>
    <t>Pela el diente de ajo, córtalo en daditos y dóralo en una cazuela con 3 cucharadas de aceite. Agrega el arroz y el agua (el doble y un poco más que de arroz), desmenuza encima la pastilla de caldo, mezcla y cocina el arroz durante 18-20 minutos. Deja que se enfríe.
Calienta una sartén con 1 cucharada de aceite, sazona la pechuga, añádela a la sartén y dórala por los dos lados. Retira la pechuga, córtala en daditos y ponla en un bol grande. Limpia las hojas de espinacas, sécalas, pícalas finamente e introdúcelas en el bol. Agrega el arroz y mezcla todo bien. Casca un huevo, bátelo, incorpóralo al bol y mezcla de nuevo.
Coge pequeñas porciones de masa, redondéalas, pásalas por harina y huevo batido y fríelas a fuego medio en una sartén con aceite. Escúrrelas sobre una fuente cubierta con papel absorbente.
Calienta la salsa de tomate.
Sirve en cada plato 5 croquetas y un poco de salsa de tomate. Adórnalos con unas hojas de perejil.</t>
  </si>
  <si>
    <t>Espinacas</t>
  </si>
  <si>
    <t>Arroz con lomo, panceta y jamón cocido</t>
  </si>
  <si>
    <t>Calienta una tartera (cazuela amplia y baja) con 4 cucharadas de aceite. Corta el jamón, la panceta y el lomo en dados, añádelos y rehógalos hasta que se doren. Retíralos a un plato y resérvalos.
Pela la cebolla, la zanahoria y los dientes de ajo, córtalos en daditos e incorpóralos a la tartera. Retira el tallo y las semillas del pimiento, córtalo de la misma manera y añádelo. Sazona y cocina las hortalizas durante 12-15 minutos.
Agrega el arroz a la tartera, rehógalo un poco, vierte encima el caldo caliente y cocínalo durante 12 minutos. Agrega las carnes, mezcla y cocina todo (si quieres, puedes terminarlo en el horno) durante 6-8 minutos más.
Sirve el arroz y adorna los platos con unas hojas de perejil.</t>
  </si>
  <si>
    <t>Lomo adobado</t>
  </si>
  <si>
    <t>Caldo de carne</t>
  </si>
  <si>
    <t>Ensalada de arroz al curry</t>
  </si>
  <si>
    <t>Pela los dientes de ajo, córtalos por la mitad y dóralos en una tartera (cazuela amplia y baja) con 2-3 cucharadas de aceite. Agrega el arroz, rehógalo brevemente, vierte encima agua (misma cantidad que de arroz), sazónalo y cuécelo durante el tiempo que indique el paquete. Déjalo reposar durante 2 minutos más. Escúrrelo, refréscalo, pásalo a un bol grande y resérvalo.
Calienta una cazuela con agua. Corta el calabacín y las zanahorias (peladas) en dados, introdúcelos en la cazuela, sazónalos y cuécelos durante 5-6 minutos. Retíralos, escúrrelos y deja que se enfríen.
En la misma cazuela donde has cocido las hortalizas, cuece las gambas durante 1 minuto. Retíralas, déjalas templar, pélalas y resérvalas. Pasa las cabezas de las gambas a un mortero, májalas, agrega 100 ml de aceite y mezcla bien. Pasa la mezcla por un chino sobre un bol, añade un chorrito de vinagre, una pizca de sal y el curry y mezcla bien.
Agrega al bol del arroz el calabacín, la zanahoria, la mitad de las gambas (picadas), la cebolleta (cortada en daditos), los granos de maíz y las aceitunas (picadas) y mezcla todo.
Reparte la ensalada en 4 boles. Adórnalos con el resto de las gambas y unas hojas de perejil y alíñalos con la vinagreta de curry.</t>
  </si>
  <si>
    <t>Arroz basmati</t>
  </si>
  <si>
    <t>Gamba</t>
  </si>
  <si>
    <t>Maíz</t>
  </si>
  <si>
    <t>Aceitunas negras</t>
  </si>
  <si>
    <t>Curry</t>
  </si>
  <si>
    <t>Arroz cuatro delicias</t>
  </si>
  <si>
    <t>Calienta abundante agua en una cazuela. Añade el arroz, sazónalo y cuécelo durante 18-20 minutos (contados desde el momento en que el agua empiece a hervir). Retíralo, refréscalo, escúrrelo y resérvalo.
Calienta una sartén con 1 cucharadita de aceite. Bate los huevos en un bol, sazónalos y viértelos en la sartén. Cuaja la tortilla, retírala a un plato, córtala en dados y resérvala.
Corta el jamón en dados y pela las gambas.
Mezcla el arroz, los dados de tortilla y de jamón, las gambas y los guisantes en una ensaladera.
Reparte el arroz en 4 platos, adereza con la salsa de soja y adórnalos con unas hojas de perejil.</t>
  </si>
  <si>
    <t>Gamba cocida</t>
  </si>
  <si>
    <t>Arroz con chorizo y jamón</t>
  </si>
  <si>
    <t>Calienta agua en un cazo, introduce en él los huevos y cuécelos durante 10 minutos (contados desde el momento en que el agua empiece a hervir). Retíralos, refréscalos, pélalos, pícalos y resérvalos.
Calienta agua en una cazuela y sazónala. Cuando empiece a hervir, añade el arroz y cuécelo durante 18 minutos. Retíralo, escúrrelo y resérvalo.
Corta los pimientos en tiras. Calienta una sartén con 2 cucharadas de aceite y cocina en ella los pimientos a fuego suave durante 10 minutos. Retíralos y resérvalos.
Corta el chorizo y el jamón en daditos y fríelos un poco en otra sartén con 2-3 cucharadas de aceite. Retira parte del aceite, incorpora el arroz, mezcla bien y rehógalo muy brevemente (para que se caliente el arroz).
Sirve el arroz en 4 platos, adórnalo con las tiras de pimiento y espolvoréalo con el huevo cocido picado. Adorna los platos con unas hojas de perejil.</t>
  </si>
  <si>
    <t>Pimientos del piquillo</t>
  </si>
  <si>
    <t>Arroz con tortilla y panceta</t>
  </si>
  <si>
    <t>Limpia la lechuga, sécala, trocéala y ponla en un bol. Corta la cebolleta en juliana fina y agrégala. En el momento de servir, aliña la ensalada con aceite, vinagre y sal.
Pela los dientes de ajo, córtalos por la mitad y rehógalos brevemente en una cazuela con 2 cucharadas de aceite. Agrega el arroz, rehógalo y vierte encima la misma cantidad de agua que de arroz (o la cantidad que indique el paquete). Sazona, tapa la cazuela y cocínalo a fuego medio durante 8-10 minutos (o el tiempo que indique el paquete). Retíralo y pásalo a un bol grande.
Bate 2 huevos, sazónalos y añade un poco de perejil picado. Calienta una sartén con un poco de aceite, vierte en ella los huevos batidos y cuájalos hasta conseguir una tortilla fina y redonda. Prepara otra tortilla de la misma manera con los otros 2 huevos. Corta las tortillas en dados y añádelos al bol con el arroz.
Corta la panceta en daditos y saltéalos (hasta que se doren) en una sartén con 2 cucharadas de aceite. Incorpórala al bol y mezcla bien.
Sirve el arroz y acompáñalo con la ensalada de lechuga y cebolleta. Adorna los platos con unas hojas de perejil.</t>
  </si>
  <si>
    <t>Panceta gruesa</t>
  </si>
  <si>
    <t>Lechuga</t>
  </si>
  <si>
    <t>Risotto con panceta y pollo</t>
  </si>
  <si>
    <t>Corta la cebolleta y el pimiento (pelado) en dados y rehógalos durante 8-10 minutos a fuego medio en una tartera (cazuela amplia y baja) con 3-4 cucharadas de aceite.
Trocea la panceta, agrégala a la sartén y fríela hasta que se dore un poco. Corta el pollo en trozos de bocado, salpimiéntalo, añádelo y fríelo hasta que se dore.
Incorpora a la tartera el arroz y las hebras de azafrán. Rehoga brevemente y vierte encima 500 ml de agua (caliente). Sazona y remuévelo a menudo. A medida que el arroz vaya absorbiendo el agua, añade otros 500 ml de agua. Repite el proceso hasta que el arroz esté a punto (unos 18 minutos). Añade el queso y remueve hasta que se funda.
Sirve el risotto y adorna los platos con unas hojas de perejil.</t>
  </si>
  <si>
    <t>Agua caliente</t>
  </si>
  <si>
    <t xml:space="preserve">Risotto de champiñones con solomillo de cerdo </t>
  </si>
  <si>
    <t>Pela la cebolla y los dientes de ajo, córtalos en daditos y rehógalos durante 6-8 minutos en una tartera (cazuela amplia y baja) con 3-4 cucharadas de aceite.
Corta los ajos frescos en rodajas de 1 cm, agrégalos a la tartera y cocínalos durante 2 minutos. Lava los champiñones, córtalos en cuartos e incorpóralos. Sazónalos y cocínalos durante 4-5 minutos. Vierte encima el brandy y dale un hervor fuerte hasta que se evapore el alcohol.
Añade el arroz, rehógalo un poco y agrega la mitad del caldo. Cocínalo removiéndolo a menudo hasta que absorba el caldo. Vierte otra parte del caldo y repite el proceso hasta que esté a punto (en total, unos 18 minutos).
Corta el solomillo de cerdo en trozos de bocado, salpimiéntalos y fríelos en una sartén con 2-3 cucharadas de aceite.
Reparte el risotto en 4 platos y coloca encima unos dados de solomillo de cerdo. Adorna los platos con unas hojas de perejil.</t>
  </si>
  <si>
    <t>Champiñones</t>
  </si>
  <si>
    <t>Solomillo de cerdo</t>
  </si>
  <si>
    <t>Ajos frescos</t>
  </si>
  <si>
    <t>Brandy</t>
  </si>
  <si>
    <t>Arroz familiar</t>
  </si>
  <si>
    <t>Corta la cebolleta en daditos y ponla a rehogar en una tartera (cazuela amplia y baja) con 3 cucharadas de aceite. Retira el tallo del pimiento, córtalo en tiras finas de unos 3 cm y agrégalo. Rehoga las hortalizas durante 6-8 minutos.
Salpimienta el pollo, añádelo a la tartera y dóralo un poco. Corta el chorizo en rodajas, agrégalo y fríelo brevemente. Lava el tomate, córtalo por la mitad, rállalo e incorpóralo. Añade las hebras de azafrán y el arroz, rehógalo brevemente, vierte encima el caldo y sazona. Cocina el arroz durante 18 minutos. Retíralo del fuego y deja que repose durante 2-3 minutos.
Sirve el arroz y adorna los platos con unas hojas de perejil.</t>
  </si>
  <si>
    <t>Pollo</t>
  </si>
  <si>
    <t>Caldo de pollo</t>
  </si>
  <si>
    <t>Canelones a la boloñesa</t>
  </si>
  <si>
    <t>Calienta abundante agua en una cazuela. Cuando empiece a hervir, sazónala, introduce en ella los canelones y cuécelos durante el tiempo que indique el paquete. Retíralos, escúrrelos y colócalos sobre un paño limpio de cocina.
Calienta 3-4 cucharadas de aceite en una cazuela. Pela los dientes de ajo, córtalos en daditos y agrégalos. Pela la cebolla, córtala en daditos y añádela. Retira el tallo y las semillas del pimiento, córtalo de la misma manera e incorpóralo. Pela las zanahorias, córtalas en cuartos de luna y agrégalas. Corta la rama de apio en daditos y añádela. Sazona y rehoga las hortalizas durante 10-12 minutos.
Agrega las carnes picadas, salpimiéntalas y rehógalas un poco.
Vierte encima el vino blanco y dale un hervor. Incorpora el tomate, mezcla y cocina la boloñesa durante 10-15 minutos.
Rellena los canelones con la boloñesa y repártelos en 4 platos (o fuente) aptos para el horno.
Para preparar la bechamel, funde la mantequilla en una cazuela, añade la harina y rehógala bien. Agrega la leche poco a poco sin dejar de remover hasta que los ingredientes queden bien integrados. Cocina la bechamel a fuego suave durante 8-10 minutos. Condiméntala con sal, una pizca de nuez moscada y el perejil picado.
Cubre los canelones con la salsa bechamel, espolvorea encima el queso y gratínalos hasta que el queso se dore. Sirve y adorna los platos con unas hojas de perejil.</t>
  </si>
  <si>
    <t>Láminas para canelones</t>
  </si>
  <si>
    <t>Apio</t>
  </si>
  <si>
    <t>Tomate triturado</t>
  </si>
  <si>
    <t>Queso en polvo</t>
  </si>
  <si>
    <t>Cintas con tomate y queso</t>
  </si>
  <si>
    <t>Pon a calentar abundante agua en una cazuela. Lava los tomates, hazles un corte superficial en cruz por la parte inferior, introdúcelos en la cazuela y escáldalos durante 2 minutos. Retíralos, pélalos y córtalos en daditos.
Pela los dientes de ajo y corta cada uno en 3 láminas. Elimina la parte inferior de los espárragos y córtalos en rodajas de 1 cm. Calienta una sartén grande con 3 cucharadas de aceite, agrega los ajos y los espárragos y cocínalos durante 3-5 minutos a fuego suave. Incorpora los tomates, sazónalos, cocínalos durante 15 minutos a fuego medio y espolvoréalos con el orégano.
Calienta abundante agua en una cazuela. Cuando empiece a hervir, sazona el agua, introduce en ella las cintas y cuécelas durante el tiempo que indique el paquete. Retíralas e introdúcelas directamente en la sartén con las hortalizas. Mezcla bien y repártelas en 4 platos.
Espolvorea los platos con el queso y adórnalos con unas hojas de perejil.</t>
  </si>
  <si>
    <t>Cintas de pasta</t>
  </si>
  <si>
    <t>Queso parmesano</t>
  </si>
  <si>
    <t>Espárragos verdes</t>
  </si>
  <si>
    <t>Espirales con sofrito y anchoas</t>
  </si>
  <si>
    <t>Calienta abundante agua en una cazuela grande. Cuando empiece a hervir, añade la pasta y sazona. Cuécela durante un poquito menos del tiempo que indique el paquete (debe quedar muy al dente).
Calienta 3 cucharadas de aceite en una tartera (cazuela amplia y baja). Limpia los ajos tiernos (retirándoles la parte inferior, la superior y 1 capa de hojas), córtalos en rodajas de 1 cm, añádelos a la tartera y rehógalos a fuego suave durante 3-4 minutos.
Incorpora el sofrito de tomate y cebolla a la tartera. Corta las hojas de albahaca en juliana fina y agrégalas. Corta 12 aceitunas por la mitad (reserva el resto) y añádelas. Cocina todo conjuntamente durante 8-10 minutos.
Añade la pasta (escurrida) al sofrito, mezcla bien y cocina todo durante 2-3 minutos.
Reparte la pasta en 4 platos y muele encima un poco de pimienta. Coloca, encima de cada uno, 4 filetes de anchoa y 4 aceitunas (si quieres dar un toque especial a tus platos, puedes enroscar los filetes de anchoa alrededor de las aceitunas). Adorna los platos con unas hojas de perejil.</t>
  </si>
  <si>
    <t>Espirales</t>
  </si>
  <si>
    <t>Sofrito de tomate y cebolla</t>
  </si>
  <si>
    <t>Filetes de anchoas</t>
  </si>
  <si>
    <t>Albahaca</t>
  </si>
  <si>
    <t xml:space="preserve">Lasaña de hortalizas con queso </t>
  </si>
  <si>
    <t>Calienta 6 cucharadas de aceite en una cazuela grande. Corta las cebolletas en daditos y agrégalas. Pela las zanahorias, córtalas en cuartos de luna finos y añádelas. Retira el tallo y las semillas del pimiento, pélalo, córtalo en daditos e incorpóralo. Sazona y rehoga las hortalizas durante 6-8 minutos. Lava el calabacín, córtalo en medias lunas finas y agrégalo. Retira la parte inferior de los champiñones, enjuágalos, sécalos, córtalos primero por la mitad y luego en láminas e introdúcelos en la cazuela. Sazona y cocina todo junto durante 10-12 minutos más. Pica los tomates deshidratados y añádelos. Agrega también el tomillo y cocina todo junto durante 6-8 minutos más.
Pon a calentar en una cazuela grande abundante agua con una pizca de sal. Cuando empiece a hervir, introduce en ella las láminas de lasaña de una en una y cuécelas durante el tiempo que indique el paquete. Cuando estén cocidas, escúrrelas y extiéndelas sobre un trapo limpio para que se sequen bien.
Para hacer la bechamel, pon a calentar el aceite en una cazuela, añade la harina y rehógala un poco. Vierte la leche poco a poco, sin dejar de remover, y cocina la salsa durante 6-8 minutos (no hace falta que quede muy espesa). Sazónala, rállale encima un poco de nuez moscada, añádele el perejil picado, mezcla y resérvala.
Para montar la lasaña, coloca en la base de una fuente apta para el horno 3 láminas de lasaña, la mitad de las hortalizas, 3 láminas de lasaña, el resto de las hortalizas y 3 láminas de lasaña. Cúbrelas con la bechamel y vierte encima la salsa de tomate formando unas líneas. Ralla el queso y espolvorea con él toda la superficie de la lasaña.
Introduce la lasaña en el horno y gratínala hasta que se caliente y se dore el queso.
Corta la lasaña en porciones y decora los platos con unas hojas de perejil.</t>
  </si>
  <si>
    <t>Láminas de lasaña</t>
  </si>
  <si>
    <t>Cebolleta</t>
  </si>
  <si>
    <t>Champiñón</t>
  </si>
  <si>
    <t>Tomate seco</t>
  </si>
  <si>
    <t>Queso curado de oveja</t>
  </si>
  <si>
    <t>Salsa de tomate</t>
  </si>
  <si>
    <t>Tomillo seco</t>
  </si>
  <si>
    <t>Fettuccini alfredo con salmón</t>
  </si>
  <si>
    <t>Para preparar la salsa Alfredo, trocea la mantequilla y ponla a fundir (a fuego lento) en una cazuela. Pela los ajos, pícalos finamente y agrégalos a la cazuela. Vierte encima la nata y deja que reduzca a fuego suave durante 5-6 minutos. Incorpora poco a poco el queso y mezcla suavemente. Mantén (a fuego suave) la salsa caliente.
Calienta abundante agua en una cazuela. Cuando empiece a hervir, sazónala y agrega los fettuccini. Cuécelos durante el tiempo que indique el paquete (unos 8 minutos).
Corta el salmón en trocitos, salpimiéntalo y saltéalo brevemente (2-3 minutos) a fuego fuerte en una sartén con 2 cucharadas de aceite.
Escurre la pasta (reserva un poco del agua de la cocción), ponla de nuevo en la cazuela, vierte encima la salsa Alfredo y mezcla bien.
Reparte la pasta en 4 platos y coloca encima unos trozos de salmón. Espolvorea los platos con un poco de perejil picado y adórnalos con unas hojas de perejil.</t>
  </si>
  <si>
    <t>Fettuccini</t>
  </si>
  <si>
    <t>Salmón</t>
  </si>
  <si>
    <t>Nata líquida</t>
  </si>
  <si>
    <t>Rigatoni con setas y pollo</t>
  </si>
  <si>
    <t>Calienta una sartén con 4 cucharadas de aceite. Pela 1 diente de ajo, pícalo y añádelo. Corta la pechuga de pollo en dados, salpimiéntalos, incorpóralos a la sartén y saltéalos durante 3-5 minutos. Retíralo a un plato y resérvalo.
Pela y pica el otro diente de ajo y agrégalo a la sartén. Incorpora las setas, sazónalas y saltéalas durante 3-5 minutos. Retíralas al plato junto con el pollo.
Lava los tomates, córtalos por la mitad y rállalos. Añade 2 cucharadas de aceite a la sartén donde has salteado el pollo y las setas, vierte encima el vino y dale un hervor. Agrega el orégano y el tomate (rallado), sazona y cocina durante 12-13 minutos.
Calienta abundante agua en una cazuela y sazónala. Cuando el agua empiece a hervir, agrega los rigatoni y cuécelos durante un poco menos de tiempo del que indique el paquete (deben quedar muy al dente).
Retira los rigatoni de la cazuela e introdúcelos en la sartén donde está la salsa de tomate. Incorpora el pollo y las setas, remueve y cocina todo junto durante 3-4 minutos. Añade un poco de perejil picado y sirve. Espolvorea los platos con un poco de queso rallado y adórnalos con unas hojas de perejil.</t>
  </si>
  <si>
    <t>Rigatoni</t>
  </si>
  <si>
    <t>Setas</t>
  </si>
  <si>
    <t>Tomate maduro</t>
  </si>
  <si>
    <t xml:space="preserve">Pastel de macarrones y pollo </t>
  </si>
  <si>
    <t>Pon abundante agua a calentar en una cazuela grande. Cuando empiece a hervir, agrega los macarrones, sazónalos y cuécelos durante 2 minutos menos de lo que indique el paquete. Retíralos, escúrrelos y resérvalos.
Calienta 3 cucharadas de aceite en una sartén grande. Pela la cebolla, córtala en daditos e introdúcela en la sartén. Retira el tallo y las semillas del pimiento, córtalo de la misma manera y agrégalo. Sazona y cocina las hortalizas a fuego suave durante 10 minutos.
Retira la piel de los muslos de pollo, córtalos en dados, salpimiéntalos, incorpóralos a la sartén y cocínalos durante 4-5 minutos. Vierte encima la salsa de tomate. Pica las hojas de albahaca, agrégalas y cocina todo a fuego moderado durante 3-4 minutos.
Calienta 2 cucharadas de aceite en una sartén grande, añade los macarrones y un poco de perejil picado y saltéalos durante 3-4 minutos.
Cubre un molde redondo de fondo desmontable con un trozo grande de papel de hornear y rellénalo con los macarrones. Bate 4 huevos en un bol grande, agrega la nata y el yogur y bate de nuevo hasta que los ingredientes queden bien integrados. Vierte la crema sobre los macarrones y extiende la carne encima. Espolvorea la superficie del pastel con el queso rallado y hornéalo a 180 ºC durante unos 35 minutos.
Retíralo del horno, deja que se temple y desmóldalo. Córtalo en porciones y sirve. Adorna los platos con unas hojas de perejil.</t>
  </si>
  <si>
    <t>Macarrones</t>
  </si>
  <si>
    <t>Muslo de pollo deshuesado</t>
  </si>
  <si>
    <t>Yogur natural</t>
  </si>
  <si>
    <t>Fideos a la cazuela con costilla</t>
  </si>
  <si>
    <t>Pon 1.500 ml de agua en una olla rápida, introduce en ella la costilla, sazona, cierra la olla y cuécela durante 5 minutos. Retírala, separa la carne de los huesos, pícala un poco y resérvala. Cuela y reserva por separado el caldo de la cocción.
Pela los ajos y las cebollas, córtalos en daditos y ponlos a rehogar en una tartera (cazuela amplia y baja) con 4 cucharadas de aceite. Cuando las hortalizas estén doradas (10-15 minutos), añade la carne de la costilla y dórala un poco (3-4 minutos).
Corta los tomates por la mitad, rállalos, agrégalos a la tartera y cocínalos durante 8-10 minutos. Incorpora el paté, el pimentón y la canela y mezcla bien. Añade los fideos y 400 ml del caldo reservado, sazónalos y cocínalos durante el tiempo que indique el paquete (11-13 minutos). Durante la cocción, a medida que se vayan secando, agrega otro poco de caldo (unos 200 ml).
Espolvorea los fideos con un poco de perejil picado y sirve. Adorna los platos con unas hojas de perejil.</t>
  </si>
  <si>
    <t>Fiedos</t>
  </si>
  <si>
    <t>Paté</t>
  </si>
  <si>
    <t>Canela</t>
  </si>
  <si>
    <t xml:space="preserve">Tallarines con panceta y queso </t>
  </si>
  <si>
    <t>Pon agua a calentar en una cazuela y sazónala. Agrega los guisantes y cuécelos durante 10-12 minutos. Escúrrelos y resérvalos.
Pela 1 diente de ajo, pícalo finamente y ponlo a rehogar en una cazuela con 3 cucharadas de aceite. Corta la cebolleta en daditos y agrégala. Rehoga todo durante 8-10 minutos a fuego suave. Incorpora la salsa de tomate y los guisantes escurridos. Sazona y cocina la salsa durante 6-8 minutos.
Calienta 2-3 cucharadas de aceite en una sartén. Pela los otros 2 dientes de ajo, córtalos en láminas y añádelos. Dóralos un poco, retíralos a un plato y resérvalos. Corta la panceta en dados, sazónala, incorpórala a la sartén y dórala bien. Retírala y ponla a escurrir sobre un colador. Reserva la sartén para saltear los tallarines.
Ralla el queso y resérvalo.
Calienta abundante agua en una cazuela grande. Cuando empiece a hervir, sazónala e incorpora los tallarines. Cuécelos durante el tiempo que indique el paquete (unos 2-3 minutos).
Incorpora (en dos tandas) los tallarines a la sartén donde has dorado la panceta, añade una pizca de orégano (fresco o seco) y saltéalos brevemente.
Reparte la salsa de tomate con guisantes en el fondo de los platos y coloca encima de cada uno una porción de pasta salteada (haciendo un ovillo grande con la ayuda de un tenedor), unos dados de panceta, unas láminas de ajo y el queso rallado. Adórnalos con unas hojas de perejil.</t>
  </si>
  <si>
    <t>Tallarines</t>
  </si>
  <si>
    <t>Tagliatelle a la carbonara</t>
  </si>
  <si>
    <t>Calienta abundante agua en una cazuela grande. Cuando empieza a hervir, sazónala e introduce en ella los tagliatelle. Cuécelos durante 6-8 minutos (o el tiempo que indique el paquete). Retíralos y escúrrelos.
Calienta 4 cucharadas de aceite en una sartén grande. Pela los dientes de ajo, córtalos en láminas, agrégalos a la sartén y rehógalos un poco. Corta la panceta en tiras finas, añádela y cocínala durante 2-3 minutos. Incorpora la pasta a la sartén y saltéala brevemente.
Pon las yemas en un bol grande, sazónalas, añádeles el queso y mezcla bien. Incorpora los tagliatelle y vuelve a mezclar hasta que los ingredientes queden bien integrados.
Reparte la pasta en 4 platos hondos y muele un poco de pimienta encima de cada uno. Reparte sobre ellos las hojas de albahaca y decora los platos con unas hojas de perejil.</t>
  </si>
  <si>
    <t>Tagliatelle</t>
  </si>
  <si>
    <t>Yema de huevo</t>
  </si>
  <si>
    <t>Canelones de pescado y hortalizas</t>
  </si>
  <si>
    <t>La víspera, pon a descongelar la merluza en la parte menos fría del frigorífico.
Calienta abundante agua en una cazuela grande. Agrega las láminas de canelón, sazónalas y cuécelas durante el tiempo que indique el paquete. Retíralas, escúrrelas sobre un paño limpio de cocina y resérvalas.
Calienta 3 cucharadas de aceite en una sartén. Corta los puerros en daditos y añádelos. Pela las zanahorias, córtalas de la misma manera y agrégalas. Sazona y cocina las hortalizas durante 6-8 minutos.
Corta la merluza en daditos, sazónala e incorpórala a la sartén. Añade la salsa de tomate, mezcla bien y cocina todo durante 3-4 minutos. Reserva el relleno.
Para preparar la salsa velouté, calienta 4 cucharadas de aceite en una cazuela, agrega la harina y rehógala bien. Añade la leche poco a poco y remueve hasta que los ingredientes queden integrados. Vierte encima el caldo de pescado y sigue removiendo hasta que los ingredientes queden bien integrados. Sazona y cocina la salsa a fuego suave durante 8-10 minutos sin dejar de remover.
Añade 1 cacillo de la salsa velouté al relleno (reserva el resto) y mezcla bien.
Rellena los canelones y repártelos en 4 platos (aptos para el horno) o coloca todos en una fuente apta para el horno. Cúbrelos con una capa fina de velouté, espolvoréalos con el queso y gratínalos hasta que se doren.
Sirve y adorna los platos con unas hojas de perejil.</t>
  </si>
  <si>
    <t>Canelón</t>
  </si>
  <si>
    <t>Merluza</t>
  </si>
  <si>
    <t>Caldo de pescado</t>
  </si>
  <si>
    <t>Tallarines con jamón y panceta</t>
  </si>
  <si>
    <t>Pon a calentar abundante agua en una cazuela grande. Cuando empiece a hervir, sazónala y añade los tallarines. Cuécelos durante el tiempo que indique el paquete. Retíralos y escúrrelos. Reserva también un poco del agua de la cocción.
Pela los dientes de ajo y córtalos en láminas. Corta el jamón y la panceta en dados.
Calienta una sartén grande (o wok) con 3 cucharadas de aceite. Agrega los ajos, la guindilla, la panceta y el jamón y saltéalos brevemente. Incorpora los tallarines y un poco del agua de la cocción. Saltéalos brevemente, espolvoréalos con un poco de perejil picado y sirve.</t>
  </si>
  <si>
    <t>Jamón serrano</t>
  </si>
  <si>
    <t>Cayena</t>
  </si>
  <si>
    <t>Albóndigas con tomate y puré de patata</t>
  </si>
  <si>
    <t>Trocea la miga de pan y ponla en un bol grande. Vierte encima el vino y espera a que la miga quede bien empapada. Escúrrela sobre un colador y resérvala.
Calienta agua en una cazuela y sazónala. Pela las patatas, trocéalas, introdúcelas en la cazuela y cuécelas durante 15-20 minutos. Escúrrelas y pásalas por el pasapurés (o aplástalas con un machacador de patatas) sobre un bol. Agrega la leche (caliente) poco a poco y mezcla suavemente. Salpimienta, añade un poco de perejil picado y vuelve a mezclar. Reserva el puré.
Pon la carne picada (ternera y cerdo) en un bol. Pela 2 dientes de ajo, pícalos finamente (en daditos) y agrégalos junto con la yema y 1 cucharadita de perejil picado. Salpimienta y mezcla. Incorpora la miga de pan (escurrida) y sigue mezclando hasta que los ingredientes queden bien integrados. Forma bolitas, pásalas por harina y fríelas en una sartén con aceite.
Pon a calentar el sofrito de tomate y cebolla en una cazuela baja, introduce en ella las albóndigas y cocínalas durante 5-6 minutos. Si ves que la salsa queda muy espesa, puedes aligerarla agregándole un poco de agua.
Cubre el fondo de los platos con el puré de patata y sirve las albóndigas encima. Decóralos con unas hojas de perejil.</t>
  </si>
  <si>
    <t>Carne picada mixto</t>
  </si>
  <si>
    <t>Albóndigas en salsa de almendras</t>
  </si>
  <si>
    <t>Trocea la miga de pan y ponla en un bol. Vierte la leche y espera a que se empape bien.
Pon las carnes (ternera y cerdo) en un bol y mézclalas. Pela 3 dientes de ajo, pícalos finamente y agrégalos. Añade también las yemas de huevo, 1 cucharada de perejil picado, el zumo de medio limón, la miga de pan escurrida, sal y pimienta (al gusto). Mezcla bien. Forma bolitas, pásalas por harina y fríelas en una sartén con 150 ml de aceite. Retíralas y resérvalas en una fuente.
Cuela el aceite resultante de freír las albóndigas, pásalo a otra sartén, agrega las almendras, tuéstalas hasta que se doren y resérvalas en un plato.
Pela la cebolla, córtala en dados, incorpórala a la sartén y rehógala durante 8-10 minutos.
Lava los tomates, córtalos por la mitad y rállalos. Añade a la sartén la pulpa de los tomates, 1 cucharadita de azúcar, el comino, la pimienta y la hoja de laurel. Cocina los ingredientes durante 8-10 minutos.
Incorpora las almendras y el vino blanco. Sazona y cocina todo durante 15 minutos a fuego suave. Retira la hoja de laurel y tritura los ingredientes en un vaso americano.
Coloca las albóndigas en la sartén, vierte encima la salsa (si queda muy espesa, puedes aligerarla agregando un poco de agua caliente) y cocínalas durante 6-8 minutos.</t>
  </si>
  <si>
    <t>Almendra</t>
  </si>
  <si>
    <t>Aceite de las abóndigas</t>
  </si>
  <si>
    <t>Azúcar</t>
  </si>
  <si>
    <t>Aleta rellena de pimientos y tortilla</t>
  </si>
  <si>
    <t>Bate en un bol los huevos con una pizca de sal. Calienta una sartén con 1 cucharadita de aceite, vierte en ella los huevos y cuájalos por los dos lados hasta conseguir una tortilla fina. Retírala a un plato y resérvala.
Extiende la aleta (abierta) sobre la tabla, salpimiéntala y coloca encima la tortilla y los pimientos (abiertos por la mitad). Sazona los pimientos, enrolla la aleta y átala con cuerda de cocina. Sazónala por fuera y dórala en una sartén con un chorrito de aceite durante 3-4 minutos. Pasa la aleta a una fuente apta para el horno.
Pela los ajos, la cebolla y las zanahorias y córtalos en dados. Saltea las hortalizas durante 2 minutos en la misma sartén donde has dorado la carne. Agrega el vino y dale un hervor. Incorpora las hortalizas a la fuente con la aleta y hornea a 190-200 ºC durante 35-40 minutos.
Retira la carne, deja que se temple, filetéala y resérvala. Pasa las hortalizas a un vaso batidor y tritúralas con una batidora eléctrica. Reserva la salsa.
Limpia las coles de Bruselas (retirándoles las hojas exteriores) y córtalas por la mitad. Calienta una sartén con 3-4 cucharadas de aceite, añade las coles de Bruselas, sazónalas y cocínalas a fuego suave-medio durante 6-8 minutos.
Sirve en cada plato 2 filetes de aleta, 4 coles de Bruselas (8 mitades) y un poco de salsa. Decora los platos con unas hojas de perejil.</t>
  </si>
  <si>
    <t>Aleta de ternera</t>
  </si>
  <si>
    <t>Coles de bruselas</t>
  </si>
  <si>
    <t>Brochetas de pollo con salsa teriyaki</t>
  </si>
  <si>
    <t>Para preparar la salsa teriyaki, pon en un cazo la salsa de soja, el azúcar, el sake, el mirin, la harina de maíz diluida en un poco de agua fría, el jengibre y los tallos de cebolleta (cortados en rodajas). Calienta los ingredientes a fuego suave durante 5 minutos (hasta que espese). Cuela la salsa sobre un bol y resérvala.
Pon la carne picada de pollo en un bol. Retira la parte inferior, la superior y 2-3 hojas del puerro, enjuágalo, pícalo finamente y agrégalo al bol. Pela el jengibre, rállalo e incorpóralo. Añade el huevo y el pan rallado. Salpimienta y mezcla bien hasta conseguir una masa homogénea. Tapa el bol con film transparente y déjalo reposar en el frigorífico durante 1 hora.
Coge una porción de carne, redondéala y después dale forma alargada (tipo croqueta larga). Insértale un palillo de brocheta en el centro (como si fuera un polo) y resérvala. Repite el proceso con el resto de la carne hasta conseguir 12 brochetas. Rocíalas con un poco de aceite y cocínalas a la plancha.
Limpia la escarola, sécala, trocéala y ponla en un bol. Alíñala con aceite, vinagre y sal.
Sirve las brochetas de pollo, rocíalas con la salsa teriyaki y acompáñalas con un poco de ensalada. Adorna los platos con unas hojas de perejil.</t>
  </si>
  <si>
    <t>Escarola</t>
  </si>
  <si>
    <t>Azúcar moreno</t>
  </si>
  <si>
    <t>Sake</t>
  </si>
  <si>
    <t>Mirin</t>
  </si>
  <si>
    <t>Harina de maíz</t>
  </si>
  <si>
    <t>Carrilleras de ternera con pastel de patata</t>
  </si>
  <si>
    <t>Para hacer el pastel, pela las patatas, córtalas en rodajas bien finas (para que te queden todas iguales, puedes cortarlas con una mandolina), y corta las lonchas de panceta por la mitad.
Unta la base de un molde (apto para el horno) con mantequilla, coloca encima una capa de patatas, sazónalas con una pizca de sal, úntalas con otro poco de mantequilla, espolvoréalas con un poco de queso rallado, pon encima otra capa de patatas, sazónalas con otra pizca de sal, úntalas con mantequilla, agrega otro poco de queso y finalmente extiende encima las lonchas de panceta. Termina de montar el pastel alternando capas de patata, mantequilla y queso hasta acabar con todos los ingredientes. Hornea el pastel a 180 ºC durante 40 minutos. Retíralo del horno y escúrrele el exceso de grasa.
Retira la membrana que cubre las carrilleras y salpimiéntalas. Calienta 3-4 cucharadas de aceite en una olla rápida, introduce en ella las carrilleras y dóralas bien por los dos lados. Retíralas y resérvalas en un plato.
Pela los dientes de ajo, la cebolla y la zanahoria. Corta todo en dados y añádelos a la olla. Rehoga las hortalizas durante 10-12 minutos. Introduce de nuevo las carrilleras en la olla y agrega los vinos (tinto y oporto), el tomillo, el laurel y 200 ml de agua. Pon a punto de sal, tapa la olla y cocina las carrilleras durante 40 minutos.
Retira las carrilleras, tritura la salsa (si queda muy fina, dale un hervor y lígala agregando un poco de harina de maíz diluida en agua fría) y añade un poco de perejil picado.
Filetea las carrilleras, sirve 3-4 filetes en cada plato y salséalas. Corta el pastel de patata en 4 porciones y coloca una en cada plato. Adorna los platos con unas hojas de perejil.</t>
  </si>
  <si>
    <t>Carrilleras de ternera</t>
  </si>
  <si>
    <t>Vino tinto</t>
  </si>
  <si>
    <t>Vino de oporto</t>
  </si>
  <si>
    <t>Tomillo</t>
  </si>
  <si>
    <t xml:space="preserve">Crepes de pavo, puerro y queso </t>
  </si>
  <si>
    <t>Cuece la pechuga de pavo en una cazuela con agua y una pizca de sal durante 15-20 minutos. Una vez cocida, retírala a un plato, deja que se temple, deshiláchala y resérvala.
Pela las zanahorias y córtalas en rodajas finas. Cuécelas durante 8-10 minutos en una cazuela con agua hirviendo sazonada con una pizca de sal. Pásalas a un vaso batidor, agrega la nata y tritúralas con una batidora eléctrica (si ves que queda demasiado espeso, añade un poco del agua de cocción de las zanahorias hasta que adquiera la consistencia de una crema). Reserva la crema.
Para hacer la masa de los crepes, casca los huevos, ponlos en un vaso batidor y añade la leche, la harina, una pizca de sal y el aceite. Tritura los ingredientes con una batidora eléctrica hasta conseguir una masa homogénea.
Calienta una sartén con 1 cucharadita de aceite y espárcelo bien. Vierte en ella un poco de masa, extiéndela por toda la base de la sartén y espera a que cuaje un poco; dale la vuelta y cocínalo un poco (si queda muy grasiento, deséchalo). Repite el proceso hasta terminar con toda la masa.
Limpia los puerros, retirándoles la parte inferior, la superior y la primera capa, enjuágalos, córtalos en trozos de unos 5-6 centímetros y después en juliana fina. Pela los dientes de ajo, pícalos finamente y rehógalos en una sartén con 3 cucharadas de aceite. Añade los puerros, sazónalos y cocínalos a fuego suave-medio durante 6-8 minutos.
Ralla el queso y resérvalo.
Rellena los crepes con los puerros, el pavo y el queso y enróllalos.
Sirve un poco de crema de zanahoria y 2 crepes en cada plato. Decora los platos con unas hojas de perejil.</t>
  </si>
  <si>
    <t>Guiso de pollo y costillas con patatas y tortilla de arroz</t>
  </si>
  <si>
    <t>Calienta 4 cucharadas de aceite en una cazuela grande. Sazona el pollo y la costilla, añádelos y rehógalos un poco hasta que se doren. Ralla la cebolla y agrégala. Remueve los ingredientes y sigue rehogando a fuego suave durante 5 minutos.
Lava el tomate, córtalo por la mitad, rállalo e incorpóralo. Pela el pimiento rojo y córtalo en tiras. Pela las zanahorias y córtalas en rodajas. Lava las judías, retírales las puntas y córtalas por la mitad. Incorpora las hortalizas al guiso.
Pela las patatas, trocéalas (cascándolas) y agrégalas a la cazuela.
Añade el pimentón, el azafrán y el laurel, sazona y cubre todo con agua (1.500-2.000 ml).
Casca los huevos, ponlos en un bol y bátelos. Agrega el arroz y una pizca de sal y mezcla bien. Calienta un chorrito de aceite en una sartén, agrega los huevos batidos con arroz y cuaja la tortilla por los dos lados.
Coloca la tortilla encima del guiso, tapa la cazuela y cocina conjuntamente durante unos 35 minutos.
Sirve y decora los platos con unas hojas de perejil.</t>
  </si>
  <si>
    <t>Judías verdes</t>
  </si>
  <si>
    <t>Pimentón dulce</t>
  </si>
  <si>
    <t>Guiso de jarretes de cordero con arroz</t>
  </si>
  <si>
    <t>Pela 2 dientes de ajo, aplástalos con la hoja del cuchillo, pícalos un poco y ponlos en un mortero. Pica el romero y el tomillo y agrégalos. Sazona y maja todo. Agrega 5-6 cucharadas de aceite y mezcla bien.
Sazona los jarretes y colócalos en una fuente. Viérteles encima el majado, úntalos bien y déjalos reposar por lo menos durante 30 minutos (mejor si los dejas macerando desde la víspera).
Calienta 3 cucharadas de aceite en una olla rápida. Pela las cebollas, córtalas en dados e introdúcelas en la olla. Pela las zanahorias, córtalas en cuartos de luna e incorpóralas. Lava los champiñones, córtalos en cuartos y añádelos. Sazona y cocina las hortalizas durante unos 15 minutos.
Retira los jarretes del majado (resérvalo) y dóralos bien en una sartén grande con 2 cucharadas de aceite.
Introduce los jarretes en la olla y añade el majado, el tomate concentrado, el vino y el caldo. Pon a punto de sal, cierra la olla y cocínalos durante 30-35 minutos. Retira los jarretes de la olla y tritura las hortalizas con una batidora eléctrica. Pasa la salsa a una tartera (cazuela amplia y baja) e introduce en ella los jarretes.
Calienta una cazuela con 1 cucharada de aceite. Aplasta los otros 2 dientes de ajo (con piel) con la hoja del cuchillo y agrégalos. Incorpora el arroz y el agua (la misma cantidad que de arroz), sazona, tapa la cazuela y cocínalo a fuego medio durante 10 minutos.
Sirve en cada plato un jarrete, salséalo y acompáñalo con una porción de arroz. Adorna los platos con unas hojas de perejil.</t>
  </si>
  <si>
    <t>Jarrete de cordero</t>
  </si>
  <si>
    <t>Arroz largo</t>
  </si>
  <si>
    <t>Tomate concentrado</t>
  </si>
  <si>
    <t>Romero</t>
  </si>
  <si>
    <t xml:space="preserve">Moussaka de cordero </t>
  </si>
  <si>
    <t>Lava las berenjenas y, con ayuda de una mandolina, córtalas en rodajas longitudinales de ½ cm. Espolvorea una fuente con un poco de sal, extiende en ella las rodajas de berenjena y sazónalas por encima. Repite el proceso hasta terminar con todas. Déjalas reposando durante 30 minutos para que vayan soltando parte de su agua (puedes inclinar la fuente para que el agua se concentre en la parte inferior de la fuente).
Pela las patatas y, con ayuda de la mandolina, córtalas en rodajas de 1 cm. Calienta aceite abundante en una sartén, agrega las patatas y fríelas (en tandas) por los dos lados. Retíralas y escúrrelas sobre una fuente cubierta con papel absorbente.
Seca las rodajas de berenjena y fríelas (en tandas) en la misma sartén donde has frito las patatas. Retíralas y escúrrelas sobre otra fuente cubierta con papel absorbente.
Pon a calentar 3-4 cucharadas de aceite (puedes utilizar el aceite sobrante de la fritura de patatas y berenjenas) en una tartera (cazuela amplia y baja). Pela los ajos y la cebolla, córtalos en daditos y agrégalos a la cazuela. Retira el tallo y las semillas del pimiento, córtalo de la misma manera y añádelo. Rehoga las hortalizas durante 6-8 minutos.
Incorpora la carne picada de cordero, el tomillo, el romero y el orégano. Salpimienta, mezcla bien y cocina a fuego vivo durante 2 minutos. Agrega la salsa de tomate y cocina la farsa durante 8-10 minutos.
Para preparar la bechamel, pon 3 cucharadas de aceite a calentar en una cazuela, añade la harina y rehógala un poco. Agrega la leche poco a poco y cocínala sin dejar de remover durante 8-10 minutos. Sazona, ralla encima un poco de nuez moscada y mezcla bien.
Monta la moussaka en una fuente apta para el horno colocando una capa de patatas en la base. Pon encima una capa de berenjenas, otra de carne, otra de berenjena y, finalmente, una de bechamel. Espolvorea la superficie con el queso rallado, introduce la fuente en el horno y hornea la moussaka a 180 ºC durante 15-20 minutos.
Sirve y adorna los platos con unas hojas de perejil.</t>
  </si>
  <si>
    <t>Carne de cordero picada</t>
  </si>
  <si>
    <t>Pavo en salsa con patatas fritas</t>
  </si>
  <si>
    <t>Salpimienta los muslos de pavo y dóralos durante 3-4 minutos en una olla rápida con 2-3 cucharadas de aceite. Añade también la guindilla cayena.
Pela los dientes de ajo, córtalos por la mitad y agrégalos. Vierte encima el vino y dale un hervor.
Pon los pimientos en un vaso batidor, añade 100 ml de agua y tritúralos. Incorpora el puré a la olla. Vierte otros 100 ml de agua en el vaso, remueve (para que el puré que queda en el vaso se mezcle con el agua) y agrégala al guiso. Añade también los granos de pimienta, la rama de tomillo y la de romero, pon a punto de sal y cierra la olla. Cocina el pavo durante 13 minutos.
Pela las patatas, córtalas en dados y fríelas en una sartén con abundante aceite. Retíralas y escúrrelas sobre un plato cubierto con papel absorbente. Sazónalas y espolvoréalas con un poco de perejil picado.
En el momento de servir, retira los muslos de pavo y sírvelos en 4 platos. Para ligar la salsa, agrega un poco de harina de maíz diluida en agua fría y dale un hervor hasta que espese.
Salsea los platos y reparte encima las patatas. Decóralos con unas hojas de perejil.</t>
  </si>
  <si>
    <t>Muslo de pavo</t>
  </si>
  <si>
    <t>Sarmale</t>
  </si>
  <si>
    <t>Calienta 2 cucharadas de aceite en una sartén. Pela la cebolla, córtala en daditos, añádela a la sartén, sazónala y cocínala durante 6-8 (hasta que empiece a transparentar). Agrega el arroz y rehoga durante un par de minutos. Retíralo a un plato y deja que se enfríe.
Pon las carnes en un bol, salpimiéntalas, agrega el pimentón y el tomillo y mezcla bien. Incorpora el arroz con la cebolla y vuelve a mezclar hasta que los ingredientes queden bien integrados. Coge pequeñas porciones de carne (de 45-50 g), dales forma de croqueta y resérvalas.
Corta las hojas de col por la mitad y retírales la parte más gruesa del centro. Extiende media hoja sobre una superficie lisa (encimera o tabla), coloca una porción de carne encima (a uno de los lados de la hoja de col) y envuélvela con la hoja de col formando un rollito (es importante doblar los laterales hacia dentro de manera que la carne no se salga). Repite el proceso hasta terminar con los ingredientes (carne y hojas de col).
Pasa los sarmale a una cazuela ancha, agrega el tomate triturado y cúbrelos con agua (1.500 ml aprox.). Sazónalos, tápalos y cocínalos durante 90 minutos a fuego suave.
Pon agua a calentar en un cazo. Cuando empiece a hervir, añade la polenta, sazónala, cocínala durante 4-5 minutos, pásala a una fuente y deja que se enfríe.
Reparte los sarmale y la polenta en 6 platos y adórnalos con unas hojas de perejil.</t>
  </si>
  <si>
    <t>Hoja de col</t>
  </si>
  <si>
    <t>Polenta</t>
  </si>
  <si>
    <t>Ternera guisada con setas</t>
  </si>
  <si>
    <t>Calienta 4 cucharadas de aceite en una olla rápida. Pela la cebolla, córtala en dados y agrégala a la olla. Lava el pimiento, retírale el tallo y las semillas, córtalo en dados y añádelo. Limpia el puerro, retirándole la parte inferior, la superior y la primera capa, enjuágalo, córtalo en dados e incorpóralo. Pela la zanahoria, córtala en dados y agrégala. Pela los dientes de ajo e introdúcelos enteros. Sazona y rehoga las hortalizas durante 8-10 minutos.
Calienta una sartén con 3-4 cucharadas de aceite. Sazona los trozos de carne y añade la mitad a la sartén. Dóralos a fuego fuerte, retíralos a un plato y resérvalos. Repite el proceso con el resto de la carne.
Introduce la carne en la olla. Ralla encima el tomate y vierte encima la sidra y aproximadamente 500 ml de agua (la necesaria para cubrir la carne). Sazona y agrega el romero, el tomillo y los granos de pimienta. Cierra la olla y cocina todo durante 15 minutos. Retira las hierbas aromáticas, pasa la carne a una tartera (cazuela amplia y baja) y tritura la salsa con una batidora eléctrica. Cuela la salsa y viértela sobre la carne.
Pela las patatas, córtalas en dados y fríelas en una sartén con abundante aceite. Retíralas, escúrrelas, sazónalas, espolvoréalas con un poco de perejil picado y añádelas a la tartera.
Retira de la sartén parte del aceite de la fritura de las patatas. Limpia los boletos, córtalos en láminas y añádelos a la sartén. Sazónalos y saltéalos durante 3-4 minutos. Añádelos a la tartera.
Reparte el guiso en 6 platos y adórnalos con unas hojas de perejil.</t>
  </si>
  <si>
    <t>Ternera</t>
  </si>
  <si>
    <t>Boletus</t>
  </si>
  <si>
    <t>Sidra</t>
  </si>
  <si>
    <t>Lagarto con patatas hasselback</t>
  </si>
  <si>
    <t>Introduce el azúcar y el Pedro Ximénez en un cazo y redúcelo a fuego suave durante unos 15-20 minutos. Retíralo a un bol y deja que se enfríe.
Lava bien las patatas y sécalas. Hazles unos cortes paralelos (de ½ cm de grosor) sin llegar a la base (para hacerlo, puedes poner la patata sobre un recipiente que tenga un borde pequeño —o sobre 2 palillos—; este borde hará que el cuchillo no llegue hasta la parte inferior y queden unidas por la base).
Pon las patatas en un recipiente apto para el horno, ábrelas un poco, sazónalas y riégalas con un chorrito de aceite. Pon un trozo de mantequilla sobre cada una. Pica el tomillo finamente y espolvoréalas con él. Hornéalas a 180-200 ºC durante 40 minutos (si notas que se están dorando demasiado, puedes taparlas con un trozo de papel de aluminio).
Corta la cebolleta en dados y rehógala durante 4-5 minutos en una sartén con 2-3 cucharadas de aceite. Agrega la harina y rehógala un poco. Vierte encima el caldo de carne y la reducción de Pedro Ximénez. Pica el romero finamente e incorpóralo. Sazona y cocina la mezcla a fuego suave durante 4-5 minutos.
Calienta una sartén con 3-4 cucharadas de aceite. Salpimienta las tiras de lagarto, introduce la mitad en la sartén, fríelas brevemente por los dos lados y retíralas a un plato. Fríe el resto de la carne de la misma manera y pásala al plato.
Retira la grasa de la sartén, coloca dentro todas las tiras de lagarto, agrega la salsa, apaga el fuego y remuévelas hasta que queden bien impregnadas con la salsa.
Sirve en cada plato unas tiras de lagarto y 1 patata hasselback. Adorna los platos con unas hojas de perejil.</t>
  </si>
  <si>
    <t>Lagarto de cedo</t>
  </si>
  <si>
    <t>Pedro Ximénez</t>
  </si>
  <si>
    <t>Albóndigas de pollo con salsa de mango y curry</t>
  </si>
  <si>
    <t>Pica con un cuchillo la carne de pollo (o pásala por una picadora) y ponla en un bol. Agrega la cebolla en polvo, el ajo en polvo, el huevo y el queso rallado, salpimienta y mezcla bien. Incorpora el pan rallado poco a poco y sigue mezclando hasta que los ingredientes queden bien integrados. Cubre el bol con film transparente, introdúcelo en el frigorífico y deja que la masa repose durante unos 30 minutos.
Calienta 3 cucharadas de aceite en una cazuela. Corta la cebolleta en dados, agrégala y rehógala durante unos 5 minutos. Pela los mangos, trocéalos e incorpóralos. Añade el curry y la nata y pon a punto de sal. Cocina los ingredientes a fuego suave-medio durante 20 minutos. Tritúralos con una batidora eléctrica hasta conseguir una salsa homogénea y resérvala.
Saca la masa de las albóndigas del frigorífico, coge pequeñas porciones, redondéalas, pásalas por harina y fríelas en una sartén con abundante aceite caliente (unos 200 ml). Retíralas y escúrrelas sobre una fuente cubierta con papel absorbente.
Pon las albóndigas en una tartera (cazuela amplia y baja), vierte encima la salsa y cocínalas durante 5 minutos a fuego suave.
Sirve y adorna los platos con unas hojas de perejil.</t>
  </si>
  <si>
    <t>Mango maduro</t>
  </si>
  <si>
    <t>Cebolla en polvo</t>
  </si>
  <si>
    <t>Ajo en polvo</t>
  </si>
  <si>
    <t>Bacalao a la riojana con guindillas fritas</t>
  </si>
  <si>
    <t>Pela los ajos, córtalos en láminas y rehógalos en una sartén con 4-5 cucharadas de aceite. Pela las cebollas, córtalas en dados grandes y agrégalos. Pela los pimientos, retírales el tallo y las semillas, córtalos en dados grandes y añádelos a la sartén. Sazona y cocina las hortalizas durante unos 10 minutos.
Lava los tomates, córtalos por la mitad, rállalos e incorpóralos a la sartén. Cocina todo durante 15-20 minutos.
Corta cada lomo de bacalao en dos e introdúcelos en la sartén (primero dejando la parte de la piel hacia arriba). Cocínalos a fuego suave durante 5 minutos por cada lado.
Fríe las guindillas en una sartén con aceite bien caliente. Retíralas a un plato y sazónalas.
Sirve en cada plato un trozo de bacalao con su salsa y acompáñalos con las guindillas fritas. Decora los platos con unas hojas de perejil.</t>
  </si>
  <si>
    <t>Bacalao</t>
  </si>
  <si>
    <t>Guindillas</t>
  </si>
  <si>
    <t>Pimiento morrón</t>
  </si>
  <si>
    <t xml:space="preserve">Bacalao gratinado con mayonesa de ajo fresco </t>
  </si>
  <si>
    <t>Mezcla en un bol 2 vasos de agua y el pimentón. Coloca las rebanadas de pan en una fuente honda, viérteles encima la mezcla de agua y pimentón y déjalas reposar hasta que hayan absorbido todo el líquido.
Coloca cada rebanada entre dos platos y aplástalas hasta escurrirlas bien. Cubre una bandeja de horno con papel de hornear, extiende encima las rebanadas de pan, tápalas con otro trozo de papel de hornear y presiónalas colocándoles encima otra bandeja de horno. Hornéalas a 180º C durante 25-30 minutos. Retíralas y resérvalas.
Pica 8 ajos frescos (reserva el resto) y cocínalos a fuego suave en una sartén con 4 cucharadas de aceite hasta que se ablanden (10 minutos aproximadamente), pásalos a un mortero y májalos bien hasta obtener una crema de ajo. Resérvala.
Para preparar la mayonesa, casca el huevo, ponlo en un vaso batidor y agrega el vinagre, una pizca de sal y 250 ml de aceite. Introduce el brazo de la batidora hasta el fondo y empieza a batir sin mover el brazo. Cuando empiece a emulsionar, muévelo suavemente. Agrega la crema de ajo fresco con su aceite y sigue batiendo los ingredientes hasta conseguir una salsa homogénea. Reserva la mayonesa.
Corta el bacalao en 8 trozos, aplástalos con un cuchillo (dándoles unos golpes), sazónalos, pásalos por la harina y fríelos brevemente (1 minuto por cada lado) en una sartén con 8 cucharadas de aceite caliente. Retíralos y colócalos en una bandeja de horno. Cubre cada trozo con un poco de mayonesa de ajo fresco y gratínalos durante 2-3 minutos (hasta que se doren).
Limpia el resto de los ajetes, córtalos por la mitad y hazles dos cortes longitudinales sin llegar hasta el final (como se hace para limpiar los puerros). Mezcla la harina de tempura con agua bien fría (en la proporción que indique el paquete). Introduce los ajos en la mezcla y fríelos en una sartén con aceite bien caliente. Retíralos y escúrrelos sobre un plato cubierto con papel absorbente.
Sirve en cada plato 2 trozos de bacalao, 4 ajos frescos en tempura y 1 rebanada de pan de pimentón. Adorna los platos con unas hojas de perejil.</t>
  </si>
  <si>
    <t>Harina de tempura</t>
  </si>
  <si>
    <t>Brocheta de salmón con salsa de yogur</t>
  </si>
  <si>
    <t>Pon a calentar suavemente el aceite en una sartén pequeña. Corta el tallo de la cebolleta en rodajas y añádelo. Pela el diente de ajo y agrégalo. Añade el tomillo, el eneldo y los granos de pimienta. Cocina los ingredientes a fuego muy suave durante 10-12 minutos. Retira la sartén del fuego y deja templar. Cuela el aceite sobre un recipiente grande rectangular.
Limpia el salmón, córtalo en 16 dados grandes y pínchalos, de 4 en 4, en 4 palillos de brocheta. Introduce las brochetas en el recipiente y úntalas bien en el aceite. Déjalas macerando por lo menos durante 1 hora (mejor si se dejan desde la víspera).
Para preparar la salsa de yogur, pela la chalota, córtala en daditos y ponla en un bol. Añade la mayonesa, el yogur, unas gotas de zumo de limón, una pizca de sal y la mitad de las hojas de cebollino finamente picadas.
Calienta una plancha, coloca en ella las brochetas de salmón y cocínalas durante 1-2 minutos por cada lado (según os guste el punto). Retíralas y salpimiéntalas.
Sirve una brocheta por ración y acompáñalas con la salsa de yogur. Pica el resto de las hojas de cebollino y espolvorea con ellas la salsa. Decora los platos con unas hojas de perejil.</t>
  </si>
  <si>
    <t>Eneldo</t>
  </si>
  <si>
    <t>Chalota</t>
  </si>
  <si>
    <t>Mayonesa</t>
  </si>
  <si>
    <t>Cebollino</t>
  </si>
  <si>
    <t>Bacalao fresco con cuscús</t>
  </si>
  <si>
    <t>Pon las espinas del bacalao, los tallos del hinojo y unas ramas de perejil en una cazuela con 500 ml de agua. Sazona y cuece todo durante 10 minutos. Cuela el caldo y resérvalo.
Pela la cebolleta y la zanahoria, córtalas en dados y ponlas a rehogar en una cazuela con 3 cucharadas de aceite. Corta el hinojo de la misma manera y agrégalo. Sazona y rehoga las hortalizas durante unos 10-12 minutos.
Incorpora el cuscús y agrega la misma cantidad de caldo (reserva el resto) que de cuscús. Tapa la cazuela, retírala del fuego y deja que el cuscús absorba el líquido. Añade un poco de perejil picado.
Pon el resto del caldo en una cazuela. Salpimienta los lomos de bacalao, colócalos en una vaporera y ponla sobre la cazuela. Tápala y cocina el pescado durante 6-8 minutos.
Con ayuda de un molde, reparte el cuscús en 4 platos, coloca encima los trozos de bacalao y aderézalos con un chorrito de aceite. Decora los platos con unas hojitas de hinojo.</t>
  </si>
  <si>
    <t>Cuscús precocido</t>
  </si>
  <si>
    <t>Hinojo</t>
  </si>
  <si>
    <t>Hamburguesa de salmón</t>
  </si>
  <si>
    <t>Corta la cebolleta en aros, enharínalos y fríelos en una sartén con bastante aceite caliente (150 ml). Retíralos, escúrrelos sobre un plato cubierto con papel absorbente y resérvalos.
Pica finamente el salmón fresco, el salmón ahumado y los pepinillos y ponlos en un bol. Sazona y mezcla bien. Forma 4 hamburguesas y resérvalas.
Calienta una sartén con 1 cucharada de aceite, coloca en ella las hamburguesas y cocínalas durante 2-3 minutos por cada lado. Salpica las hamburguesas con unas gotas de zumo de limón y retíralas a una fuente.
Abre los bollos de pan y tuéstalos en una sartén por la parte interior. Úntalos con la mayonesa y rellénalos con las hojas de lechuga, las rodajas de tomate y las hamburguesas.
Sirve una hamburguesa y unos aros de cebolla en cada plato. Adórnalos con unas hojas de perejil.</t>
  </si>
  <si>
    <t>Salmón ahumado</t>
  </si>
  <si>
    <t>Pan hamburguesa</t>
  </si>
  <si>
    <t>Pepinillos</t>
  </si>
  <si>
    <t>Hojas de lechuga</t>
  </si>
  <si>
    <t>Rodajas de tomate</t>
  </si>
  <si>
    <t>Gulas al ajillo con huevo flor</t>
  </si>
  <si>
    <t>Corta 1 trozo grande de film transparente, extiéndelo sobre un bol pequeño y vierte dentro unas gotas de aceite. Casca un huevo encima, sazónalo y espolvoréalo con un poco de perejil picado. Enrosca el film alrededor del huevo y ciérralo atándolo con un trozo de cuerda de cocina. Repite el proceso con el resto de los huevos y resérvalos.
Calienta agua en una cazuela. Cuando empiece a hervir, baja el fuego, introduce en ella los huevos y cuécelos durante 3-4 minutos. Retíralos a un plato y, en el momento de servir, corta y retira el film.
Calienta 4 cucharadas de aceite en una sartén. Pela los dientes de ajo, córtalos en láminas y añádelos a la sartén. Añade también la guindilla y dora todo un poco. Retira los ajos y la guindilla a un plato y resérvalos.
Introduce las gulas en la sartén y saltéalas brevemente (1-2 minutos).
Reparte las gulas en 4 platos y pon 1 huevo flor y unas láminas de ajo en cada uno. Adorna los platos con unas hojas de perejil.</t>
  </si>
  <si>
    <t>Gulas</t>
  </si>
  <si>
    <t>Salmonete en costra de hojaldre con espárragos</t>
  </si>
  <si>
    <t>Para preparar la salsa, calienta el aceite en un cazo. Pela las chalotas, córtalas en daditos, añádelas y sazónalas. Pica el eneldo finamente y agrégalo junto con el estragón. Incorpora el vermut y dale un hervor para que se evapore el alcohol. Añade la nata y cocina la salsa durante 5 minutos. Resérvala.
Con un cuchillo afilado, saca los lomos de los salmonetes (retirándoles la cabeza y las espinas centrales), salpimiéntalos y júntalos de dos en dos.
Extiende las láminas de hojaldre sobre la tabla, coloca 1 salmonete (2 lomos) sobre un lado del hojaldre y recórtalo de manera que quede un borde alrededor de unos 3 cm. Corta otro trozo de hojaldre (un poco más grande que el salmonete) y cubre con él el salmonete. Presiona los bordes del hojaldre (parte inferior y superior) de manera que queden pegados y córtalo dándole forma de pez con cola. Con la parte sin filo de la hoja de un cuchillo, márcale la forma de la cabeza y colócale 1 grano de pimienta a modo de ojo. Con una boquilla de manga pastelera, márcale las escamas. Coloca el salmonete sobre una bandeja de horno cubierta con papel de hornear. Repite el proceso con el resto de los salmonetes y el hojaldre. Bate el huevo en un bol y, con ayuda de un pincel, unta el hojaldre por la parte superior. Hornea los salmonetes a 200 ºC durante 20 minutos.
Lava los espárragos, retírales la parte inferior y córtalos por la mitad. Calienta 2 cucharadas de aceite en una sartén, agrega los espárragos, sazónalos y saltéalos durante 4-5 minutos.
Sirve en cada plato 2 salmonetes, una porción de espárragos y un poco de salsa. Adorna los platos con unas hojas de perejil.</t>
  </si>
  <si>
    <t>Salmonete</t>
  </si>
  <si>
    <t>Láminas hojaldre</t>
  </si>
  <si>
    <t>Vermut blanco</t>
  </si>
  <si>
    <t>Estragón</t>
  </si>
  <si>
    <t>Merluza a la sidra con patatas</t>
  </si>
  <si>
    <t>Pela los dientes de ajo y la cebolla, córtalos en dados y rehógalos a fuego medio-suave en una cazuela con 3 cucharadas de aceite durante 4-5 minutos. Pela la manzana, pícala, agrégala, sazona y cocínala durante 4 minutos. Añade el pimentón, la salsa de tomate y la sidra y cocina todo a fuego suave-medio durante 15-20 minutos. Tritura los ingredientes con una batidora eléctrica hasta conseguir una salsa homogénea y resérvala.
Pela las patatas, córtalas en rodajas de ½ centímetro y fríelas en una sartén con abundante aceite caliente hasta que estén tiernas y se doren un poco. Retíralas, escúrrelas y colócalas en el fondo de una tartera (cazuela amplia y baja). Agrega la salsa y cocina las patatas a fuego bajo durante 4-5 minutos.
Salpimienta los trozos de merluza, pásalos por harina y fríelos brevemente (30 segundos por cada lado) en la misma sartén donde has frito las patatas. Retíralos, escúrrelos e introdúcelos en la tartera. Vierte encima el caldo de pescado (hasta conseguir la consistencia deseada) y cocina conjuntamente durante 2-3 minutos.
Reparte la merluza con patatas en 4 platos y adórnalos con unas hojas de perejil.</t>
  </si>
  <si>
    <t>Cebolla roja</t>
  </si>
  <si>
    <t>Rape al vapor con crema de calabaza</t>
  </si>
  <si>
    <t>Para la crema de calabaza, pon a calentar 250 ml de agua y la leche en una cazuela. Pela la patata, trocéala e incorpórala. Pela la calabaza, córtala en dados y añádela. Sazona y cuece los ingredientes durante 10-12 minutos. Tritura todo con una batidora eléctrica y reserva la crema.
Calienta un poco de agua en una tartera (cazuela amplia y baja). Sazona y añade unas ramas de perejil. Corta los lomos de rape en 8 medallones, salpimiéntalos y colócalos en una vaporera cubierta con un trozo de papel de hornear. Tapa la vaporera y ponla en la tartera. Cocina el rape durante unos 6-8 minutos.
Pela las alcachofas, retirándoles 2-3 capas, y recórtales la parte superior. Córtalas en 6-8 gajos. Calienta 2 cucharadas de aceite en una sartén, agrega las alcachofas, sazónalas y cocínalas durante 4-5 minutos.
Para preparar la vinagreta, pica los pistachos finamente y ponlos en un bol. Añade el vinagre, el aceite y el perejil picado y mezcla bien.
Sirve un poco de crema de calabaza en la base de los platos, pon encima de cada uno 2 medallones de rape, aderézalos con un poco de vinagreta y añade unos gajos de alcachofa. Espolvorea los platos con el pimentón y adórnalos con unas hojas de perejil.</t>
  </si>
  <si>
    <t>Rape</t>
  </si>
  <si>
    <t>Alachofa</t>
  </si>
  <si>
    <t>Pistacho pelado</t>
  </si>
  <si>
    <t>Salmón al limón con borraja</t>
  </si>
  <si>
    <t>Corta la borraja en trozos de 3 centímetros, lávala y cuécela durante 10 minutos en una cazuela con agua hirviendo con una pizca de sal. Escúrrela y resérvala.
Para preparar la salsa, pon la mantequilla a fundir en un cazo y agrega el aceite. Pela los dientes de ajo, córtalos en dados y añádelos. Corta la cebolleta de la misma manera y agrégala. Incorpora la hoja de laurel, el vino, la mostaza y la nata y deja que la salsa reduzca durante 10 minutos. Cuélala y ponla a calentar en un cazo. Exprime los limones, pasa el zumo a un bol, agrega la harina de maíz diluida en agua fría, mezcla bien y vierte la mezcla en el cazo. Dale un hervor hasta que espese.
Salpimienta los lomos de salmón y cocínalos a la plancha (primero dejando la piel hacia arriba) durante 4 minutos (2 por cada lado).
Calienta una sartén con 2 cucharadas de aceite, agrega la borraja y saltéala brevemente.
Sirve un poco de salsa de limón en la base de 4 platos, coloca encima el salmón y, al lado, las borrajas. Adorna los platos con unas hojas de perejil.</t>
  </si>
  <si>
    <t>Borraja</t>
  </si>
  <si>
    <t>Matequilla</t>
  </si>
  <si>
    <t>Salmón cajún al horno</t>
  </si>
  <si>
    <t>Para preparar la salsa cajún, pon en un vaso americano (vaso batidor o picadora de cuchillas) la cebolla, la cayena, el pimentón, la sal, el azúcar, el tomillo, el orégano y la ralladura de limón. Tritura todo hasta obtener un polvo grueso. Pela los dientes de ajo, pícalos e incorpóralos al vaso americano. Agrega también el vinagre, el aceite y la mostaza. Vuelve a triturar hasta conseguir una pasta y pásala a un bol pequeño.
Cubre la base de una bandeja de horno con papel de hornear. Unta los lomos de salmón con la salsa cajún, colócalos en la bandeja y hornéalos a 220 ºC durante 8 minutos.
Aliña los canónigos con aceite y sal y repártelos en 4 platos. Coloca 1 lomo de salmón en cada uno y adórnalos con unas hojas de perejil.</t>
  </si>
  <si>
    <t>Canónigos</t>
  </si>
  <si>
    <t>Cayena en polvo</t>
  </si>
  <si>
    <t>Bacalao a la tranca</t>
  </si>
  <si>
    <t>Pon el pimiento en un recipiente apto para el horno. Riégalo con un chorrito de aceite, sazónalo y hornéalo a 190 ºC durante 35-40 minutos. Retíralo, deja que se temple, retírale el tallo y las semillas, pélalo, córtalo en tiras y resérvalo.
Introduce la patata (lavada y con piel) en una olla rápida, cúbrela con agua, cierra la olla y cuécela durante 8-10 minutos. Retírala, deja que se temple, pélala y resérvala.
Calienta agua en un cazo, introduce en él el huevo y cuécelo durante 10 minutos (contados desde el momento en que el agua empiece a hervir). Refréscalo, pélalo, córtalo en daditos, espolvoréalo con un poco de perejil picado y resérvalo.
Calienta 6-8 cucharadas de aceite en una sartén grande. Pela 1 diente de ajo y añádelo. Enharina los lomos de bacalao, introdúcelos en la sartén y fríelos durante 3 minutos por cada lado (hasta que se doren). Retíralos y pásalos a un plato. Retira también el diente de ajo.
Deja en la sartén 1-2 cucharadas del aceite donde has frito el bacalao y reserva el resto. Pon la sartén de nuevo al fuego. Pela los otros 2 dientes de ajo, córtalos en láminas y añádelos. Incorpora el pimentón, las tiras de pimiento y 225 ml de caldo de pescado (reserva el resto). Cocina todo a fuego suave-medio durante 8-10 minutos.
Agrega a la sartén 1-2 cucharadas de vinagre y los lomos de bacalao (dejando la parte de la piel hacia arriba) y cocínalos durante unos 5 minutos.
Trocea la patata cocida y ponla en un vaso batidor. Incorpora 2 cucharadas del aceite reservado y el resto del caldo (75 ml). Tritura los ingredientes con una batidora eléctrica hasta conseguir un puré homogéneo.
Sirve el puré de patata en la base de los platos, coloca encima de cada uno 1 lomo de bacalao y unas tiras de pimiento y espolvoréalos con el huevo picado. Decora los platos con unas hojas de perejil.</t>
  </si>
  <si>
    <t>Pimieto morrón</t>
  </si>
  <si>
    <t>Atún con puré de patata y cebolla</t>
  </si>
  <si>
    <t>Calienta una sartén con abundante aceite (150 ml). Pela los dientes de ajo, córtalos en láminas y agrégalos a la sartén. Pela las cebollas, córtalas en dados e incorpóralas. Pela las patatas, córtalas en cuartos de luna finos y añádelas. Sazona y cocina todo a fuego suave durante 15-20 minutos.
Escurre las hortalizas (reserva el aceite en un bol) y ponlas en un vaso americano. Agrega la leche y tritura hasta conseguir un puré homogéneo. Resérvalo.
Calienta 2-3 cucharadas de aceite (puedes utilizar el aceite sobrante de freír las patatas) en una sartén, añade los pimientos y fríelos durante 5-6 minutos a fuego suave-medio. Sazónalos y resérvalos.
Corta el atún en 8-12 filetes, salpimiéntalos y fríelos brevemente (1 minuto por cada lado) en una sartén con 3-4 cucharadas de aceite (puedes utilizar el aceite sobrante de freír las patatas). Retira el atún a una fuente.
Agrega a la sartén donde has cocinado el atún el vinagre y 1 cucharadita de perejil picado y mezcla bien.
Sirve en cada plato 3 pimientos, una porción de puré de patatas y 2-3 filetes de atún. Salsea y adorna los platos con unas hojas de perejil.</t>
  </si>
  <si>
    <t>Atún</t>
  </si>
  <si>
    <t>Pimientos del padrón</t>
  </si>
  <si>
    <t>Vinagre de módena</t>
  </si>
  <si>
    <t>Brocheta de bonito con salsa teriyaki y guindillas</t>
  </si>
  <si>
    <t>Introduce 4 palillos de brocheta en una jarra o vaso alto con agua y déjalos a remojo durante 30 minutos. Retira los palillos del agua, úntalos con aceite y resérvalos. Para preparar la salsa teriyaki, pon en un cazo la salsa de soja, el sake, el mirin, el azúcar y la harina de maíz. Mezcla bien hasta que los ingredientes queden bien integrados. Pela el jengibre, corta 6 rodajas finas y agrégalas. Corta el tallo de la cebolleta en rodajas finas y añádelas. Cocina los ingredientes durante 4-5 minutos. Cuela la salsa sobre un bol y resérvala.
Corta el bonito en 24 tacos. Salpimiéntalos, ensarta 6 tacos en cada palillo y rocía las brochetas con un poco de aceite.
Calienta una plancha, coloca en ella las brochetas y cocínalas brevemente (2-3 minutos).
Calienta una sartén con 5-6 cucharadas de aceite, añade las guindillas y fríelas durante 3-5 minutos. Retíralas a una fuente y sazónalas.
Sirve 1 brocheta en cada plato y aderézalas con la salsa teriyaki. Reparte las guindillas en los 4 platos y adórnalos con unas hojas de perejil.</t>
  </si>
  <si>
    <t>Bonito</t>
  </si>
  <si>
    <t>Calamares a la romana</t>
  </si>
  <si>
    <t>Para la pasta orly, casca los huevos, ponlos en un bol y móntalos con una batidora de varillas eléctrica. Agrega la harina y la levadura y bate de nuevo. Sazona, añade el agua con gas y termina de montar la pasta. Déjala reposar mientras preparas el calamar.
Separa la cabeza del cuerpo del calamar, retírale la pluma y las aletas (retirándole también la piel) del cuerpo, dale la vuelta y enjuágalo bien por dentro y por fuera. Retira el pico de la cabeza, separa los tentáculos y la corbata y enjuaga todo bien. Corta el cuerpo en aros, los tentáculos de 2 en 2 y las aletas en tiras. Sazónalo, introdúcelo en la pasta orly, úntalo bien en ella, escúrrelo y fríelo brevemente en una sartén con abundante aceite caliente. Retíralo y escúrrelo sobre una fuente cubierta con papel absorbente.
Sirve los calamares a la romana y acompáñalos con unos trozos de limón. Adorna los platos con unas hojas de perejil.</t>
  </si>
  <si>
    <t>Calamar</t>
  </si>
  <si>
    <t>Levadura</t>
  </si>
  <si>
    <t>Agua con gas</t>
  </si>
  <si>
    <t>Flan de chocolate con nata</t>
  </si>
  <si>
    <t>Para hacer el caramelo, pon el azúcar a calentar en una sartén. Espera a que se funda y se tueste un poco. Viértelo en una flanera (con tapa) y extiéndelo (con cuidado de no quemarte) por el fondo y la parte inferior de las paredes de la flanera. Deja que se enfríe un poco.
Casca los huevos, ponlos en un bol, agrega la leche condensada y bate bien con una varilla manual.
Pon el cacao y la leche en un vaso batidor y tritúralos con una batidora eléctrica. Añade la leche con cacao al bol de los huevos con leche condensada y mezcla bien. Pasa la mezcla a la flanera y ponle la tapa.
Vierte un poco de agua (2 dedos) en una olla rápida, introduce en ella la flanera y cocina el flan durante 4 minutos.
Cuando baje la válvula, abre la olla, retira el flan y espera a que se temple. Desmóldalo y sirve. Decóralo con la nata montada, las frambuesas y las hojas de menta.</t>
  </si>
  <si>
    <t>Leche condensada</t>
  </si>
  <si>
    <t>Cacao en polvo</t>
  </si>
  <si>
    <t>Nata montada</t>
  </si>
  <si>
    <t>Frambuesas</t>
  </si>
  <si>
    <t>Menta</t>
  </si>
  <si>
    <t>Tarta de galletas y chocolate con macadamia</t>
  </si>
  <si>
    <t>Extiende una tira de papel de hornear a lo largo de un molde rectangular (tipo bizcocho) de manera que sobresalga una pestaña por cada lado.
Extiende las galletas en una fuente grande, vierte encima la leche, ralla sobre ellas un poco de la piel de la naranja y deja que se empapen bien.
Pon la nata a calentar en un cazo. Agrega el chocolate troceado y mezcla suavemente hasta que se funda. Apaga el fuego, incorpora el queso y remueve hasta que quede integrado en la mezcla.
Cubre la base del molde con parte de la crema de chocolate, nata y queso. Extiende encima 5 galletas, cúbrelas con otro poco de crema de chocolate y tápala con otra capa de galletas. Repite el proceso hasta acabar con todos los ingredientes (finaliza con 6 galletas). Tapa la tarta con film transparente, introdúcela en el frigorífico y déjala enfriando por lo menos durante 2 horas.
Bordea la tarta con una puntilla y desmóldala. Decórala con las frambuesas y las nueces de macadamia ralladas. Adorna con unas hojas de menta y sirve.</t>
  </si>
  <si>
    <t>Galletas rectangulares</t>
  </si>
  <si>
    <t>Chocolate de cobertura</t>
  </si>
  <si>
    <t>Nueces de macadamia</t>
  </si>
  <si>
    <t>Naranja</t>
  </si>
  <si>
    <t>Queso cremoso</t>
  </si>
  <si>
    <t>Palmeritas de chocolate</t>
  </si>
  <si>
    <t>Extiende el hojaldre sobre la encimera, espolvoréalo con un poco de azúcar y pásale el rodillo suavemente por encima. Dale la vuelta, espolvoréalo con otro poco de azúcar y vuelve a pasarle el rodillo. Enrolla el hojaldre por uno de los extremos (largos) hasta llegar al centro. Haz lo mismo con el otro extremo, hasta que los dos rollos se junten en el centro.
Corta el hojaldre en rodajas de unos 2 cm, extiéndelas sobre una bandeja de horno cubierta con papel de hornear y hornéalas a 190 ºC durante 20 minutos. Retira las palmeritas y deja que se enfríen sobre una rejilla.
Funde por separado los chocolates, bien en el microondas o al baño maría. Introduce un lado de las palmeritas en el chocolate negro, extiéndelas sobre una fuente grande y espera a que el chocolate se solidifique. Introduce el otro lado de las palmeritas en el chocolate blanco y espera a que se solidifique (para que el chocolate se enfríe antes, puedes introducir las palmeritas en el frigorífico).
Sirve y adorna los platos con unas hojas de menta.</t>
  </si>
  <si>
    <t>Lámina hojaldre</t>
  </si>
  <si>
    <t>Chocolate negro de cobertura</t>
  </si>
  <si>
    <t>Chocolate blanco de cobertura</t>
  </si>
  <si>
    <t>Mousse de fresa</t>
  </si>
  <si>
    <t>Lava las fresas, retírales el tallo, trocéalas, ponlas en el vaso batidor y tritúralas con una batidora eléctrica hasta conseguir un puré homogéneo. Resérvalo.
Pon el queso en un bol grande y bátelo con una batidora de varillas eléctrica. Añade el azúcar (en tres veces) y bátelo. Incorpora la nata (en 3 veces) y bátela. Incorpora el puré de fresas (reserva un poco para decorar) poco a poco y bate la mezcla hasta que los ingredientes queden bien integrados. Tapa el bol con film transparente, introdúcelo en el frigorífico y deja que se enfríe.
Sirve la mousse en 4 copas y decóralas con el puré de fresas reservado y unas hojas de menta.</t>
  </si>
  <si>
    <t>Fresas</t>
  </si>
  <si>
    <t>Queso mascarpone</t>
  </si>
  <si>
    <t>Azúcar glas</t>
  </si>
  <si>
    <t>Peras al vino con yogur</t>
  </si>
  <si>
    <t>Pon a calentar en una cazuela 200 ml de agua, el vino, la rama de canela y el azúcar a fuego suave.
Pela las peras, introdúcelas en la cazuela, tapa y cuécelas a fuego suave durante 25-30 minutos dándoles la vuelta de vez en cuando (cada 5 minutos aprox.). Retira las peras y resérvalas en un plato.
Pon el vino a reducir (sin tapa) y cocínalo a fuego suave hasta que reduzca a la mitad. Para que espese un poco más, deja que se enfríe.
Sirve medio yogur en el fondo de cada plato, coloca encima las peras y salséalas con la reducción de oporto. Adorna las peras con unas hojas de menta.</t>
  </si>
  <si>
    <t>Peras</t>
  </si>
  <si>
    <t>Tarta de arándanos</t>
  </si>
  <si>
    <t>Para hacer la pasta quebrada, mezcla la harina, la sal, la levadura y el azúcar en un bol grande. Incorpora la mantequilla y mezcla un poco. Agrega el huevo y mezcla otro poco. Pasa la masa a la encimera y amásala hasta que los ingredientes queden bien integrados. Divide la masa en dos porciones, envuélvelas con film transparente, introdúcelas en el frigorífico y déjalas enfriar durante 2 horas (como mínimo) para que endurezca. Retíralas del frigorífico y amásalas suavemente hasta que se ablanden un poco.
Espolvorea la encimera con un poco de harina, coloca encima una de las porciones de masa, estírala bien con un rodillo y cubre con ella un molde de fondo desmontable de 23 cm de diámetro.
Para el relleno, mezcla en un bol la harina de maíz con el azúcar y la canela. Incorpora los arándanos y vuelve a mezclar. Añade el zumo de limón y mezcla de nuevo. Pon el relleno sobre la base de la tarta y dobla los bordes sobrantes hacia el centro.
Espolvorea la encimera con otro poco de harina, coloca sobre ella la otra porción de pasta quebrada y estírala bien. Corta tiras largas de 2 cm de grosor y colócalas sobre la tarta formando un enrejado (tiras entrecruzadas). Bate la yema de huevo y, con ayuda de un pincel de cocina, pinta el enrejado.
Coloca la tarta sobre la rejilla del horno (pon debajo una placa por si soltara algo de líquido) y hornéala a 200 ºC durante 40 minutos. Retírala del horno, espera a que se enfríe y desmóldala.
Pon el azúcar glas en un colador y espolvorea con él la tarta. Adórnala con unas hojas de menta.</t>
  </si>
  <si>
    <t>Arándanos</t>
  </si>
  <si>
    <t>Zumo de limón</t>
  </si>
  <si>
    <t>Tarta de cerezas</t>
  </si>
  <si>
    <t>Para preparar la masa, pon la harina, el azúcar, la levadura y la sal en un bol y mezcla suavemente. Trocea la mantequilla e incorpórala. Añade 1 huevo y amasa los ingredientes hasta que se unan. Pasa la masa a la encimera y sigue amasando hasta que los ingredientes queden bien integrados. Forma un cilindro con la pasta quebrada y envuélvela con film transparente. Deja que repose en el frigorífico por lo menos durante 2 horas (mejor si es de un día para otro).
Lava las cerezas, deshuésalas y ponlas en un bol grande. Agrégales el azúcar, la esencia de vainilla y la ralladura de la lima y mezcla bien. Tapa el bol con film transparente e introdúcelo en el frigorífico. Deja que las cerezas reposen por lo menos durante 2 horas (mejor si es de un día para otro).
Saca la pasta quebrada del frigorífico. Corta la cuarta parte de la masa y resérvala. Coloca el resto de la masa sobre la encimera y amásala un poco (lo justo para que se ablande un poco). Espolvorea la encimera con un poco de harina, pon encima la masa, espolvoréala con otro poco de harina y estírala con el rodillo. Cubre con ella un molde redondo de fondo desmontable, dejando que sobresalgan unos 2-3 cm de masa por todo el contorno. Rellena la tarta con las cerezas, espolvoréalas con la harina de maíz refinada y dobla los bordes de la masa sobre las cerezas. Bate el otro huevo en un bol y unta con él los bordes de masa.
Estira el trozo de pasta quebrada reservado de la misma manera que has hecho con la base y córtalo en tiras de 1 ½ cm. Coloca las tiras de masa sobre las cerezas formando un enrejado y úntalas (con cuidado) con el huevo batido.
Hornea la tarta a 200 ºC durante 35-40 minutos. Retírala, deja que se enfríe y desmóldala.
Decórala con un poco de nata montada, unas cerezas y unas hojas de menta.</t>
  </si>
  <si>
    <t>Cerezas</t>
  </si>
  <si>
    <t>Esencia de vainilla</t>
  </si>
  <si>
    <t>Ralladura de lima</t>
  </si>
  <si>
    <t>Tarta de chocolate del diablo</t>
  </si>
  <si>
    <t>Calienta 160 ml de agua con el cacao en un cazo. Cuando empiece a hervir y el cacao se disuelva, retira el cazo del fuego y añade la leche y el extracto de vainilla.
Pon la mantequilla y el azúcar en un bol y bátelos con una batidora de varillas eléctrica. Incorpora 1 huevo y bate hasta que quede bien integrado. Agrega el otro huevo y vuelve a batir hasta que se integre. Vierte en el bol la mezcla del cazo (agua, cacao, leche y vainilla) y remueve bien hasta conseguir una masa homogénea.
Mezcla la harina, el bicarbonato, la levadura y una pizca de sal en otro bol, tamízala sobre el bol anterior y remueve los ingredientes con una varilla manual hasta conseguir una masa homogénea.
Unta un molde redondo con un poco de mantequilla y fórralo por la parte interior con papel de hornear. Vierte dentro la masa y hornéala a 180 ºC durante 60 minutos. Retira el bizcocho del horno y espera a que se temple un poco. Desmóldalo y déjalo enfriar sobre una rejilla. Córtalo en 3 planchas.
Para preparar la ganache, pon a calentar la nata y el extracto de vainilla en un cazo. Incorpora el cacao y el azúcar glas. Calienta los ingredientes sin dejar de remover (con una varilla de mano) hasta que queden bien integrados (no hace falta que hiervan). Retira el cazo del fuego, incorpora la mantequilla y sigue removiendo hasta que quede bien integrada. Pasa la mezcla a un recipiente y deja que se temple un poco.
Extiende una plancha de bizcocho sobre un plato grande colocado sobre un bol boca abajo. Cúbrela con un poco de ganache, pon encima otra plancha de bizcocho y cúbrela también con ganache. Finalmente, coloca la última plancha y cúbrela con el resto de la ganache de manera que caiga por toda la superficie y el contorno de la tarta de 3 capas. Sirve la tarta, coloca las frambuesas en la parte superior y adórnala con unas hojas de menta.</t>
  </si>
  <si>
    <t>Bicarbonato</t>
  </si>
  <si>
    <t>Cuajada con salsa de fresa</t>
  </si>
  <si>
    <t>Pon 3 gotas de cuajo en 4 copas o recipientes.
Vierte la leche de oveja en una cazuela y ponla a calentar a fuego medio, hasta que alcance una temperatura de unos 50 ºC (controla la temperatura con un termómetro de cocina). Reparte la leche en los 4 recipientes y espera a que cuaje. Para la salsa de fresas, limpia las fresas, pica 6 y ponlas en un cazo. Agrega el azúcar y caliéntalas hasta que se deshagan. Pica el resto de las fresas a tu gusto (dados o trozos irregulares) y resérvalas.
Para servir, pon un poco de salsa de fresa sobre las cuajadas y reparte encima las fresas picadas. Decóralas con unas hojas de menta.</t>
  </si>
  <si>
    <t>Leche de oveja</t>
  </si>
  <si>
    <t>Gotas de cuajo líquido de farmacia</t>
  </si>
  <si>
    <t>Tarta de manzana clásica</t>
  </si>
  <si>
    <t>Para la pasta quebrada, mezcla la harina, la sal y la mantequilla en un bol y amásalos un poco. Agrega el agua y sigue amasando hasta que los ingredientes queden bien integrados.
Espolvorea la encimera con un poco de harina, coloca encima la masa y estírala con un rodillo. Cubre un molde de fondo desmontable con la masa y corta los sobrantes (pasando el rodillo por encima). Tapa la tartaleta con un trozo de papel de hornear, rellénala con legumbres (destinadas a este fin) y hornéala a 200 ºC durante 20 minutos. Saca la tartaleta del horno y retira el papel y las legumbres. Reserva la tartaleta.
Para la crema pastelera, calienta en una cazuela la leche (reserva un poco) con la vaina de vainilla (abierta) y la cáscara de limón durante 5 minutos, para que la leche quede bien aromatizada.
Mezcla en un bol grande el azúcar, la harina de maíz refinada y la leche (fría) reservada. Añade las yemas y el huevo y bate hasta que quede una papilla homogénea. Cuela encima la leche aromatizada, mezcla y pasa todo a la cazuela. Cocina a fuego suave, sin dejar de remover, hasta que espese (unos 5 minutos).
Extiende la crema pastelera sobre la tartaleta. Pela las manzanas, córtalas en láminas finas y cubre con ellas toda la superficie. Hornea la tarta a 200 ºC durante 45 minutos. Retírala, deja que se enfríe y desmóldala.
Unta la superficie de la tarta con la mermelada de albaricoque y decórala con las frambuesas, las grosellas y unas hojas de menta.</t>
  </si>
  <si>
    <t>Corteza de limón</t>
  </si>
  <si>
    <t>Vainilla</t>
  </si>
  <si>
    <t>Mermelada de albaricoque</t>
  </si>
  <si>
    <t>Agua</t>
  </si>
  <si>
    <t>Torrija caramelizada con helado</t>
  </si>
  <si>
    <t>Mezcla la leche y la leche condensada en una cazuela y ponlas a calentar a fuego suave. Agrega la rama de canela, la corteza de naranja y la de limón y cuece todo a fuego suave durante unos 6-8 minutos, hasta que la leche quede bien aromatizada.
Corta las rebanadas de pan de molde por la mitad y colócalas en un recipiente hondo. Cúbrelas con la leche aromatizada y espera a que queden bien remojadas.
Para que no se rompan, retíralas del recipiente con una espátula y colócalas sobre un plato. Cúbrelas con el azúcar y caramelízalas utilizando un soplete.
Sirve en cada plato 1 torrija, 1 bola de helado y unas hojas de menta.</t>
  </si>
  <si>
    <t>Corteza de naranja</t>
  </si>
  <si>
    <t>Helado</t>
  </si>
  <si>
    <t xml:space="preserve">Pastelitos de queso con mermelada </t>
  </si>
  <si>
    <t>Para forrar los moldes, corta 4 trozos grandes de papel de hornear, apriétalos y arrúgalos bien (como si fueras a hacer unas bolas con ellos). Ábrelos de nuevo y extiéndelos sobre 4 recipientes redondos aptos para el horno. Para que el papel se adapte mejor al molde, puedes presionarlo introduciendo un vaso dentro. Coloca los moldes sobre una bandeja de horno.
Casca los huevos y ponlos en una jarra. Agrega el queso, el azúcar, la harina y la nata y tritura los ingredientes con una batidora eléctrica hasta conseguir una crema homogénea. Reparte la crema en los 4 moldes y hornéalos a 200 ºC durante 20 minutos. Retira la bandeja del horno y deja que se enfríen.
Desmolda los pastelitos, sírvelos y salséalos con la mermelada de albaricoque. Decora los platos con unas hojas de menta.</t>
  </si>
  <si>
    <t>Queso crema</t>
  </si>
  <si>
    <t xml:space="preserve">Tortilla de chocolate con chantillí </t>
  </si>
  <si>
    <t>Calienta 1 cucharada de aceite en una sartén. Bate 3 huevos en un bol, agrega la mitad del azúcar, la mitad del chocolate y la mitad del cacao y mezcla bien. Vierte la mezcla en la sartén y cuájala poco a poco, removiendo los ingredientes suavemente. Retira la tortilla a un plato y resérvala. Repite el proceso con el resto de los ingredientes para hacer otra tortilla.
Para preparar el chantillí, pon la nata fría en un bol, agrega el azúcar glas y la esencia de vainilla y bate los ingredientes con una batidora de varillas eléctrica hasta que monten. Introduce el chantillí en una manga pastelera con boquilla (lisa o estrellada).
Lava las fresas, retírales el tallo y córtalas en láminas. Pela el plátano y córtalo en rodajas.
Para servir, corta las tortillas por la mitad y sirve media en cada plato (si lo prefieres, puedes cortarla en tiras). Acompáñalas con el chantillí, las láminas de fresa y las rodajas de plátano. Adorna los platos con unas hojas de menta.</t>
  </si>
  <si>
    <t>Plátano</t>
  </si>
  <si>
    <t>Nata para montar</t>
  </si>
  <si>
    <t>Sándwich helado</t>
  </si>
  <si>
    <t>Saca el helado del congelador y déjalo a temperatura ambiente durante 15 minutos.
Con un sacabolas, forma una bola de helado y colócala sobre una galleta, tapa el helado con otra galleta y presiónalas un poco, hasta conseguir un sándwich. Con una puntilla (cuchillo pequeño), recorta el helado que sobresalga. Repite el proceso con el resto de las galletas y el resto del helado.
Coloca los sándwiches sobre una fuente, tápalos con film transparente e introdúcelos en el congelador hasta el momento de consumirlos.
Funde el chocolate al baño maría y pásalo a un bol pequeño. Coloca también en un bol el crocanti de almendra.
Retira los sándwiches del congelador. Introduce un sándwich hasta la mitad en el chocolate fundido y a continuación en el crocanti de almendra. Repite el proceso con el resto de los sándwiches. Sirve 2 sándwiches en cada plato y adórnalos con unas hojas de menta.</t>
  </si>
  <si>
    <t>Galletas</t>
  </si>
  <si>
    <t>Helado de vainilla</t>
  </si>
  <si>
    <t>Crocanti de almendra</t>
  </si>
  <si>
    <t>Focaccia</t>
  </si>
  <si>
    <t>La víspera, prepara la masa: pon la harina, la leche, la yema de huevo, la miel, la sal y la levadura desmenuzada en un bol y mezcla los ingredientes hasta que la harina esté bien integrada. Tapa el bol con film transparente y deja que repose durante 30 minutos a temperatura ambiente (autólisis).
Espolvorea la encimera con un poco de harina, pon encima la masa, extiéndela un poco y agrega la mantequilla. Amasa (envolviendo la mantequilla con la masa) hasta que la mantequilla quede bien integrada.
Pon un poco de aceite en la base de un bol grande, pon encima la masa, tápala con film transparente y deja que repose en el frigorífico durante 24 horas.
Espolvorea la encimera con un poco de harina, saca la masa del frigorífico y extiéndela sobre la encimera (primero, con las manos, y después, con un rodillo) hasta conseguir un rectángulo. Colócalo sobre una bandeja de horno cubierta con papel de hornear.
Distribuye encima las aceitunas (cortadas en aros) y los tomates (cortados por la mitad). Tapa la masa con un paño limpio y deja que repose hasta que doble su volumen (1 hora aprox.).
Mezcla en un bol pequeño el aceite con 2 cucharadas de agua, 1 rama de romero (picada) y una pizca de sal.
Presiona la masa con los dedos, úntala bien con el aceite de romero y salpícala con la flor de sal.
Calienta el horno a 230 ºC. Baja la temperatura a 190 ºC, introduce la focaccia y hornéala a 190 ºC durante 12-15 minutos. Retírala del horno y deja que se enfríe un poco. Sirve y adorna los platos con unas hojas de perejil y unos trocitos de rama de romero.</t>
  </si>
  <si>
    <t>Aceitunas</t>
  </si>
  <si>
    <t>Tomates cherry</t>
  </si>
  <si>
    <t>Miel</t>
  </si>
  <si>
    <t>Pan de chocolate</t>
  </si>
  <si>
    <t>Pon en un bol la harina, el agua, la sal, la levadura desmenuzada, la masa madre y el cacao en polvo y mezcla los ingredientes (primero con una lengua, y después a mano) hasta que la harina se integre. Tapa el bol con film transparente y deja que repose a temperatura ambiente durante 30 minutos (autólisis).
Espolvorea la encimera con un poco de harina, coloca encima la masa, espolvoréala con otro poco de harina y agrega la mantequilla y las gotas de chocolate. Amasa durante 5 minutos, hasta que los ingredientes queden bien integrados.
Pon un poco de harina en un bol. Coloca dentro la masa, tápala con film transparente y déjala reposar en el frigorífico durante 24 horas.
Retira el film y espolvorea la masa con un poco de harina. Espolvorea la encimera con otro poco de harina, pon encima la masa, córtala en 4 porciones y forma con ellas 2 bollos redondos y 2 bollos alargados. Coloca los bollos sobre una bandeja de horno cubierta con papel de hornear, hazles un corte en la parte central, tápalos con un paño limpio y déjalos reposar a temperatura ambiente hasta que doblen su volumen (2 horas aprox.). Pulveriza los bollos con un poco de agua.
Calienta el horno a 200 ºC. Introduce en él los bollos, baja la temperatura a 185 ºC y hornéalos durante 20 minutos. Retíralos y déjalos enfriar sobre una rejilla. Sirve.</t>
  </si>
  <si>
    <t>Masa madre</t>
  </si>
  <si>
    <t>Gotas de chocolate</t>
  </si>
  <si>
    <t>Coca de trampó con atún</t>
  </si>
  <si>
    <t>Para hacer la masa, pon la harina en un bol grande y agrega la manteca, el aceite, el agua, la levadura y una pizca de sal. Mezcla bien, pasa la masa a la encimera y amásala hasta conseguir una masa homogénea.
Espolvorea la encimera con un poco de harina, pon encima la masa, estírala con un rodillo y colócala sobre una bandeja de horno cubierta con papel de hornear. Pínchala con un tenedor y hornéala a 180 ºC durante unos 20 minutos.
Pela la cebolleta, retirándole la primera capa, córtala en dados grandes y colócalos en un bol. Pela los tomates, córtalos en dados y añádelos. Lava los pimientos (pela el rojo), retírales los tallos y las semillas, córtalos en dados y agrégalos. Adereza las hortalizas con 2-3 cucharadas de aceite, el pimentón, una pizca de sal y otra de pimienta. Mezcla bien y déjalas macerando durante 15 minutos. Escúrrelas bien.
Retira la masa del horno (deja el horno encendido) y reparte sobre ella las hortalizas. Introduce la coca en el horno y hornéala a 180 ºC durante unos 20 minutos. Retira la coca del horno (sin apagar el horno), salpícala con las alcaparras y el atún desmenuzado, introdúcela de nuevo en el horno y hornéala durante 5 minutos más a la misma temperatura.
Sirve la coca de trampó y adórnala con unas hojas de perejil.</t>
  </si>
  <si>
    <t>Lata atún</t>
  </si>
  <si>
    <t>Tomates pera</t>
  </si>
  <si>
    <t>Alcaparras</t>
  </si>
  <si>
    <t>Manteca de cerdo</t>
  </si>
  <si>
    <t>Tartaletas de avena rellenas de pisto y lomo</t>
  </si>
  <si>
    <t>Para preparar la masa de las tartaletas, pon los copos de avena y la harina en un bol grande y mézclalos. Agrega el agua poco a poco. Añade el aceite y una pizca de sal y amasa a mano hasta conseguir una masa homogénea.
Corta la masa en 4 trozos, estíralos con un rodillo y cubre con ellos 4 tartaletas individuales. Para que las tartaletas no se inflen, tápalas con papel de hornear y cúbrelas con legumbres (destinadas a este fin). Hornéalas a 180 ºC durante 20 minutos. Retira y reserva las tartaletas.
Pela los dientes de ajo y córtalos en dados. Corta la cebolleta de la misma manera. Calienta una sartén con 3 cucharadas de aceite y pon a rehogar en ella los ajos y la cebolleta. Retira el tallo y las semillas al pimiento, córtalo en dados y agrégalo a la sartén. Corta también el calabacín en dados y añádelo. Cocina las hortalizas durante 6-8 minutos. Pela los tomates, córtalos en dados e incorpóralos. Pon a punto de sal y cocina conjuntamente durante 15 minutos.
Corta el lomo en dados, salpimiéntalo y saltéalo a fuego fuerte en una sartén con 2 cucharadas de aceite. Añádelo a la sartén con el pisto y mezcla bien. Rellena las tartaletas.
Sirve una tartaleta en cada plato y adórnalos con unas hojas de perejil.</t>
  </si>
  <si>
    <t>Lomo de cerdo</t>
  </si>
  <si>
    <t>Copos de avena</t>
  </si>
  <si>
    <t>Quiche de panceta y queso</t>
  </si>
  <si>
    <t>Para preparar la masa, pon en un bol grande la harina, la sal, la mantequilla y el huevo. Amasa hasta que los ingredientes queden bien integrados, introduce la masa en el frigorífico y deja que repose durante 30 minutos.
Pasa la masa a la encimera, extiéndela con un rodillo y forra con ella un molde redondo de fondo desmontable. Cubre la tartaleta con papel de hornear y cúbrela con una capa de legumbres (destinadas a este fin) para que no se infle. Hornéala a 180 ºC durante 30 minutos. Retírala del horno, retira las legumbres y reserva la tartaleta.
Corta la cebolleta en dados, retira el tallo y las semillas al pimiento y córtalo de la misma manera. Calienta una sartén con 3 cucharadas de aceite y rehoga en ella las hortalizas durante 8-10 minutos. Corta la panceta en dados, añádela y dórala. Trocea el queso, incorpóralo, cocina brevemente y pasa el relleno a la tartaleta.
Bate los huevos con la nata y una pizca de sal. Vierte la mezcla sobre la tartaleta y cubre con ella el relleno. Hornea la quiche a 180 ºC durante 20 minutos. Retírala del horno, déjala templar y desmóldala.
Corta la quiche en porciones y sirve. Adorna los platos con unas hojas de perejil.</t>
  </si>
  <si>
    <t>Bollos de pan integral</t>
  </si>
  <si>
    <t>Pon la harina en un bol grande. Agrega la masa madre, la levadura prensada desmenuzada y el agua y mezcla los ingredientes un poco. Incorpora la sal y sigue mezclando hasta que la harina quede bien integrada. Tapa el bol con film transparente y deja que la masa repose a temperatura ambiente durante 20-30 minutos (autólisis).
Espolvorea la encimera y la masa con un poco de harina, sácala del bol y amásala durante 3-5 minutos. Ponla de nuevo en el bol, tápala con film transparente, introdúcela en el frigorífico y deja que repose durante 24 horas.
Espolvorea la encimera con un poco de harina. Retira la masa del frigorífico, espolvoréala con otro poco de harina y ponla sobre la encimera. Divide la masa en 5 porciones y aplástalas un poco (para desgasificarlas). Bolea cada trozo y forma con ellos 5 bollos alargados.
Coloca los bollos (dejando el pliegue hacia abajo) sobre una bandeja de horno cubierta con papel de hornear. Tápalos con un paño limpio de algodón y déjalos fermentar durante 2 horas. Greña los bollos (hazles unos cortes por la parte superior con una puntilla).
Calienta el horno a 220 ºC, introduce la bandeja en el horno y vierte un vaso de agua en la base del horno. Baja la temperatura a 190 ºC y hornea los bollos durante 10 minutos. Abre el horno para que se vaya el vapor. Cierra el horno de nuevo y hornéalos durante 15 minutos más. Retira los bollos del horno, colócalos sobre una rejilla y deja que se enfríen.
Sirve.</t>
  </si>
  <si>
    <t>Harina integral</t>
  </si>
  <si>
    <t>Medidas</t>
  </si>
  <si>
    <t>Abreviatura</t>
  </si>
  <si>
    <t>Gramos</t>
  </si>
  <si>
    <t>Mililitros</t>
  </si>
  <si>
    <t>Cucharadas</t>
  </si>
  <si>
    <t>Sopas</t>
  </si>
  <si>
    <t>Cremas</t>
  </si>
  <si>
    <t>Verduras</t>
  </si>
  <si>
    <t>Legumbres</t>
  </si>
  <si>
    <t>Huevos</t>
  </si>
  <si>
    <t>Arroces</t>
  </si>
  <si>
    <t>Pastas</t>
  </si>
  <si>
    <t>Carnes</t>
  </si>
  <si>
    <t>Pescados</t>
  </si>
  <si>
    <t>Postres</t>
  </si>
  <si>
    <t>Panes</t>
  </si>
  <si>
    <t>Resumen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</si>
</sst>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4">
    <font>
      <sz val="11"/>
      <color theme="1"/>
      <name val="Aptos Narrow"/>
      <family val="2"/>
      <scheme val="minor"/>
    </font>
    <font>
      <sz val="11"/>
      <color theme="1"/>
      <name val="Aptos Narrow"/>
      <family val="2"/>
      <scheme val="minor"/>
    </font>
    <font>
      <b/>
      <sz val="11"/>
      <color theme="1"/>
      <name val="Aptos Narrow"/>
      <family val="2"/>
      <scheme val="minor"/>
    </font>
    <font>
      <sz val="14"/>
      <color theme="1"/>
      <name val="CustomSerif"/>
      <charset val="1"/>
    </font>
  </fonts>
  <fills count="2">
    <fill>
      <patternFill patternType="none"/>
    </fill>
    <fill>
      <patternFill patternType="gray125"/>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44" fontId="1" fillId="0" borderId="0" applyFont="0" applyFill="0" applyBorder="0" applyAlignment="0" applyProtection="0"/>
  </cellStyleXfs>
  <cellXfs count="42">
    <xf numFmtId="0" fontId="0" fillId="0" borderId="0" xfId="0"/>
    <xf numFmtId="0" fontId="0" fillId="0" borderId="1" xfId="0" applyBorder="1"/>
    <xf numFmtId="0" fontId="0" fillId="0" borderId="1" xfId="0" applyBorder="1" applyAlignment="1">
      <alignment horizontal="center"/>
    </xf>
    <xf numFmtId="2" fontId="0" fillId="0" borderId="1" xfId="0" applyNumberFormat="1" applyBorder="1" applyAlignment="1">
      <alignment horizontal="center" vertical="center"/>
    </xf>
    <xf numFmtId="2" fontId="0" fillId="0" borderId="1" xfId="0" applyNumberFormat="1" applyBorder="1" applyAlignment="1">
      <alignment horizontal="center"/>
    </xf>
    <xf numFmtId="2" fontId="0" fillId="0" borderId="1" xfId="1" applyNumberFormat="1" applyFont="1" applyBorder="1" applyAlignment="1">
      <alignment horizontal="center" vertical="center"/>
    </xf>
    <xf numFmtId="0" fontId="0" fillId="0" borderId="0" xfId="0" applyBorder="1" applyAlignment="1">
      <alignment horizontal="left" vertical="center"/>
    </xf>
    <xf numFmtId="0" fontId="0" fillId="0" borderId="0" xfId="0" applyBorder="1" applyAlignment="1">
      <alignment horizontal="center" vertical="center"/>
    </xf>
    <xf numFmtId="2" fontId="0" fillId="0" borderId="0" xfId="0" applyNumberFormat="1" applyBorder="1" applyAlignment="1">
      <alignment horizontal="center" vertical="center"/>
    </xf>
    <xf numFmtId="0" fontId="0" fillId="0" borderId="0" xfId="0" applyBorder="1"/>
    <xf numFmtId="0" fontId="0" fillId="0" borderId="0" xfId="0" applyBorder="1" applyAlignment="1">
      <alignment horizontal="left"/>
    </xf>
    <xf numFmtId="0" fontId="0" fillId="0" borderId="0" xfId="0" applyBorder="1" applyAlignment="1">
      <alignment horizontal="center"/>
    </xf>
    <xf numFmtId="2" fontId="0" fillId="0" borderId="0" xfId="1" applyNumberFormat="1" applyFont="1" applyBorder="1" applyAlignment="1">
      <alignment horizontal="center" vertical="center"/>
    </xf>
    <xf numFmtId="2" fontId="0" fillId="0" borderId="0" xfId="0" applyNumberFormat="1" applyBorder="1" applyAlignment="1">
      <alignment horizontal="center"/>
    </xf>
    <xf numFmtId="0" fontId="2" fillId="0" borderId="4" xfId="0" applyFont="1" applyBorder="1"/>
    <xf numFmtId="0" fontId="2" fillId="0" borderId="5" xfId="0" applyFont="1" applyBorder="1"/>
    <xf numFmtId="0" fontId="2" fillId="0" borderId="6" xfId="0" applyFont="1" applyBorder="1"/>
    <xf numFmtId="0" fontId="0" fillId="0" borderId="7" xfId="0" applyBorder="1"/>
    <xf numFmtId="0" fontId="2" fillId="0" borderId="8" xfId="0" applyFont="1" applyBorder="1"/>
    <xf numFmtId="0" fontId="0" fillId="0" borderId="9" xfId="0" applyBorder="1"/>
    <xf numFmtId="2" fontId="0" fillId="0" borderId="1" xfId="0" applyNumberFormat="1" applyBorder="1"/>
    <xf numFmtId="0" fontId="0" fillId="0" borderId="6" xfId="0" applyBorder="1"/>
    <xf numFmtId="0" fontId="0" fillId="0" borderId="15" xfId="0" applyFill="1" applyBorder="1" applyAlignment="1">
      <alignment horizontal="center" vertical="center"/>
    </xf>
    <xf numFmtId="0" fontId="2" fillId="0" borderId="10" xfId="0" applyFont="1" applyBorder="1" applyAlignment="1">
      <alignment horizontal="center"/>
    </xf>
    <xf numFmtId="0" fontId="2" fillId="0" borderId="11" xfId="0" applyFont="1" applyBorder="1" applyAlignment="1">
      <alignment horizontal="center"/>
    </xf>
    <xf numFmtId="0" fontId="0" fillId="0" borderId="3" xfId="0" applyBorder="1"/>
    <xf numFmtId="0" fontId="0" fillId="0" borderId="16" xfId="0" applyBorder="1" applyAlignment="1">
      <alignment horizontal="center"/>
    </xf>
    <xf numFmtId="0" fontId="0" fillId="0" borderId="2" xfId="0" applyFill="1" applyBorder="1" applyAlignment="1">
      <alignment horizontal="center"/>
    </xf>
    <xf numFmtId="0" fontId="0" fillId="0" borderId="17" xfId="0" applyFill="1" applyBorder="1" applyAlignment="1">
      <alignment horizontal="center"/>
    </xf>
    <xf numFmtId="0" fontId="3" fillId="0" borderId="0" xfId="0" applyFont="1"/>
    <xf numFmtId="0" fontId="0" fillId="0" borderId="1" xfId="0" applyBorder="1" applyAlignment="1">
      <alignment horizontal="center" vertical="center"/>
    </xf>
    <xf numFmtId="0" fontId="0" fillId="0" borderId="18" xfId="0"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19"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wrapText="1"/>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9AACB-5F17-4F1F-A0E3-382FC7616A46}">
  <dimension ref="A1:F37"/>
  <sheetViews>
    <sheetView workbookViewId="0">
      <pane ySplit="1" topLeftCell="A2" activePane="bottomLeft" state="frozen"/>
      <selection pane="bottomLeft" activeCell="C1" sqref="C1"/>
      <selection activeCell="B2" sqref="B2:B28"/>
    </sheetView>
  </sheetViews>
  <sheetFormatPr defaultColWidth="11.5703125" defaultRowHeight="15" customHeight="1"/>
  <cols>
    <col min="1" max="1" width="25" style="6" bestFit="1" customWidth="1"/>
    <col min="2" max="2" width="10.28515625" style="7" customWidth="1"/>
    <col min="3" max="3" width="67.85546875" style="7" customWidth="1"/>
    <col min="4" max="4" width="20.7109375" style="11" bestFit="1" customWidth="1"/>
    <col min="5" max="5" width="11.5703125" style="13"/>
    <col min="6" max="6" width="11.5703125" style="11"/>
    <col min="7" max="16384" width="11.5703125" style="9"/>
  </cols>
  <sheetData>
    <row r="1" spans="1:6">
      <c r="A1" s="30" t="s">
        <v>0</v>
      </c>
      <c r="B1" s="30" t="s">
        <v>1</v>
      </c>
      <c r="C1" s="30" t="s">
        <v>2</v>
      </c>
      <c r="D1" s="30" t="s">
        <v>3</v>
      </c>
      <c r="E1" s="3" t="s">
        <v>4</v>
      </c>
      <c r="F1" s="30" t="s">
        <v>5</v>
      </c>
    </row>
    <row r="2" spans="1:6" ht="15" customHeight="1">
      <c r="A2" s="35" t="s">
        <v>6</v>
      </c>
      <c r="B2" s="36">
        <v>185</v>
      </c>
      <c r="C2" s="31" t="s">
        <v>7</v>
      </c>
      <c r="D2" s="30" t="s">
        <v>8</v>
      </c>
      <c r="E2" s="3">
        <v>1000</v>
      </c>
      <c r="F2" s="30" t="s">
        <v>9</v>
      </c>
    </row>
    <row r="3" spans="1:6">
      <c r="A3" s="35"/>
      <c r="B3" s="36"/>
      <c r="C3" s="32"/>
      <c r="D3" s="30" t="s">
        <v>10</v>
      </c>
      <c r="E3" s="3">
        <v>300</v>
      </c>
      <c r="F3" s="30" t="s">
        <v>9</v>
      </c>
    </row>
    <row r="4" spans="1:6">
      <c r="A4" s="35"/>
      <c r="B4" s="36"/>
      <c r="C4" s="32"/>
      <c r="D4" s="30" t="s">
        <v>11</v>
      </c>
      <c r="E4" s="3">
        <v>100</v>
      </c>
      <c r="F4" s="30" t="s">
        <v>9</v>
      </c>
    </row>
    <row r="5" spans="1:6">
      <c r="A5" s="35"/>
      <c r="B5" s="36"/>
      <c r="C5" s="32"/>
      <c r="D5" s="2" t="s">
        <v>12</v>
      </c>
      <c r="E5" s="4">
        <v>1</v>
      </c>
      <c r="F5" s="30" t="s">
        <v>13</v>
      </c>
    </row>
    <row r="6" spans="1:6">
      <c r="A6" s="35"/>
      <c r="B6" s="36"/>
      <c r="C6" s="32"/>
      <c r="D6" s="2" t="s">
        <v>14</v>
      </c>
      <c r="E6" s="4">
        <v>1</v>
      </c>
      <c r="F6" s="30" t="s">
        <v>13</v>
      </c>
    </row>
    <row r="7" spans="1:6">
      <c r="A7" s="35"/>
      <c r="B7" s="36"/>
      <c r="C7" s="32"/>
      <c r="D7" s="2" t="s">
        <v>15</v>
      </c>
      <c r="E7" s="4">
        <v>1</v>
      </c>
      <c r="F7" s="30" t="s">
        <v>13</v>
      </c>
    </row>
    <row r="8" spans="1:6">
      <c r="A8" s="35"/>
      <c r="B8" s="36"/>
      <c r="C8" s="32"/>
      <c r="D8" s="2" t="s">
        <v>16</v>
      </c>
      <c r="E8" s="4">
        <v>1</v>
      </c>
      <c r="F8" s="30" t="s">
        <v>13</v>
      </c>
    </row>
    <row r="9" spans="1:6">
      <c r="A9" s="35" t="s">
        <v>17</v>
      </c>
      <c r="B9" s="36">
        <v>190</v>
      </c>
      <c r="C9" s="31" t="s">
        <v>18</v>
      </c>
      <c r="D9" s="30" t="s">
        <v>19</v>
      </c>
      <c r="E9" s="3">
        <v>200</v>
      </c>
      <c r="F9" s="30" t="s">
        <v>9</v>
      </c>
    </row>
    <row r="10" spans="1:6">
      <c r="A10" s="35"/>
      <c r="B10" s="36"/>
      <c r="C10" s="33"/>
      <c r="D10" s="2" t="s">
        <v>20</v>
      </c>
      <c r="E10" s="4">
        <v>1</v>
      </c>
      <c r="F10" s="30" t="s">
        <v>13</v>
      </c>
    </row>
    <row r="11" spans="1:6">
      <c r="A11" s="35"/>
      <c r="B11" s="36"/>
      <c r="C11" s="33"/>
      <c r="D11" s="2" t="s">
        <v>21</v>
      </c>
      <c r="E11" s="4">
        <v>250</v>
      </c>
      <c r="F11" s="30" t="s">
        <v>9</v>
      </c>
    </row>
    <row r="12" spans="1:6">
      <c r="A12" s="35"/>
      <c r="B12" s="36"/>
      <c r="C12" s="33"/>
      <c r="D12" s="2" t="s">
        <v>22</v>
      </c>
      <c r="E12" s="4">
        <v>4</v>
      </c>
      <c r="F12" s="30" t="s">
        <v>13</v>
      </c>
    </row>
    <row r="13" spans="1:6">
      <c r="A13" s="35"/>
      <c r="B13" s="36"/>
      <c r="C13" s="33"/>
      <c r="D13" s="2" t="s">
        <v>23</v>
      </c>
      <c r="E13" s="4">
        <v>1</v>
      </c>
      <c r="F13" s="30" t="s">
        <v>13</v>
      </c>
    </row>
    <row r="14" spans="1:6">
      <c r="A14" s="35"/>
      <c r="B14" s="36"/>
      <c r="C14" s="33"/>
      <c r="D14" s="2" t="s">
        <v>24</v>
      </c>
      <c r="E14" s="4">
        <v>1</v>
      </c>
      <c r="F14" s="30" t="s">
        <v>13</v>
      </c>
    </row>
    <row r="15" spans="1:6">
      <c r="A15" s="35"/>
      <c r="B15" s="36"/>
      <c r="C15" s="33"/>
      <c r="D15" s="2" t="s">
        <v>12</v>
      </c>
      <c r="E15" s="4">
        <v>2</v>
      </c>
      <c r="F15" s="30" t="s">
        <v>13</v>
      </c>
    </row>
    <row r="16" spans="1:6">
      <c r="A16" s="35"/>
      <c r="B16" s="36"/>
      <c r="C16" s="33"/>
      <c r="D16" s="2" t="s">
        <v>25</v>
      </c>
      <c r="E16" s="4">
        <v>1</v>
      </c>
      <c r="F16" s="30" t="s">
        <v>13</v>
      </c>
    </row>
    <row r="17" spans="1:6">
      <c r="A17" s="35"/>
      <c r="B17" s="36"/>
      <c r="C17" s="33"/>
      <c r="D17" s="2" t="s">
        <v>26</v>
      </c>
      <c r="E17" s="4">
        <v>50</v>
      </c>
      <c r="F17" s="30" t="s">
        <v>9</v>
      </c>
    </row>
    <row r="18" spans="1:6">
      <c r="A18" s="35"/>
      <c r="B18" s="36"/>
      <c r="C18" s="33"/>
      <c r="D18" s="2" t="s">
        <v>15</v>
      </c>
      <c r="E18" s="4">
        <v>1</v>
      </c>
      <c r="F18" s="30" t="s">
        <v>13</v>
      </c>
    </row>
    <row r="19" spans="1:6">
      <c r="A19" s="35"/>
      <c r="B19" s="36"/>
      <c r="C19" s="34"/>
      <c r="D19" s="2" t="s">
        <v>16</v>
      </c>
      <c r="E19" s="4">
        <v>1</v>
      </c>
      <c r="F19" s="30" t="s">
        <v>13</v>
      </c>
    </row>
    <row r="20" spans="1:6">
      <c r="A20" s="35" t="s">
        <v>27</v>
      </c>
      <c r="B20" s="36">
        <v>205</v>
      </c>
      <c r="C20" s="31" t="s">
        <v>28</v>
      </c>
      <c r="D20" s="30" t="s">
        <v>29</v>
      </c>
      <c r="E20" s="3">
        <v>150</v>
      </c>
      <c r="F20" s="30" t="s">
        <v>9</v>
      </c>
    </row>
    <row r="21" spans="1:6">
      <c r="A21" s="35"/>
      <c r="B21" s="36"/>
      <c r="C21" s="33"/>
      <c r="D21" s="2" t="s">
        <v>30</v>
      </c>
      <c r="E21" s="4">
        <v>0.5</v>
      </c>
      <c r="F21" s="30" t="s">
        <v>13</v>
      </c>
    </row>
    <row r="22" spans="1:6">
      <c r="A22" s="35"/>
      <c r="B22" s="36"/>
      <c r="C22" s="33"/>
      <c r="D22" s="2" t="s">
        <v>12</v>
      </c>
      <c r="E22" s="4">
        <v>2</v>
      </c>
      <c r="F22" s="30" t="s">
        <v>13</v>
      </c>
    </row>
    <row r="23" spans="1:6">
      <c r="A23" s="35"/>
      <c r="B23" s="36"/>
      <c r="C23" s="33"/>
      <c r="D23" s="2" t="s">
        <v>31</v>
      </c>
      <c r="E23" s="4">
        <v>50</v>
      </c>
      <c r="F23" s="30" t="s">
        <v>32</v>
      </c>
    </row>
    <row r="24" spans="1:6">
      <c r="A24" s="35"/>
      <c r="B24" s="36"/>
      <c r="C24" s="33"/>
      <c r="D24" s="2" t="s">
        <v>24</v>
      </c>
      <c r="E24" s="4">
        <v>1</v>
      </c>
      <c r="F24" s="30" t="s">
        <v>13</v>
      </c>
    </row>
    <row r="25" spans="1:6">
      <c r="A25" s="35"/>
      <c r="B25" s="36"/>
      <c r="C25" s="33"/>
      <c r="D25" s="2" t="s">
        <v>23</v>
      </c>
      <c r="E25" s="4">
        <v>0.5</v>
      </c>
      <c r="F25" s="30" t="s">
        <v>13</v>
      </c>
    </row>
    <row r="26" spans="1:6">
      <c r="A26" s="35"/>
      <c r="B26" s="36"/>
      <c r="C26" s="33"/>
      <c r="D26" s="2" t="s">
        <v>33</v>
      </c>
      <c r="E26" s="4">
        <v>1</v>
      </c>
      <c r="F26" s="30" t="s">
        <v>13</v>
      </c>
    </row>
    <row r="27" spans="1:6">
      <c r="A27" s="35"/>
      <c r="B27" s="36"/>
      <c r="C27" s="33"/>
      <c r="D27" s="2" t="s">
        <v>34</v>
      </c>
      <c r="E27" s="4">
        <v>1</v>
      </c>
      <c r="F27" s="30" t="s">
        <v>13</v>
      </c>
    </row>
    <row r="28" spans="1:6">
      <c r="A28" s="35"/>
      <c r="B28" s="36"/>
      <c r="C28" s="33"/>
      <c r="D28" s="2" t="s">
        <v>35</v>
      </c>
      <c r="E28" s="4">
        <v>0.5</v>
      </c>
      <c r="F28" s="30" t="s">
        <v>13</v>
      </c>
    </row>
    <row r="29" spans="1:6">
      <c r="A29" s="35"/>
      <c r="B29" s="36"/>
      <c r="C29" s="33"/>
      <c r="D29" s="2" t="s">
        <v>36</v>
      </c>
      <c r="E29" s="4">
        <v>1</v>
      </c>
      <c r="F29" s="30" t="s">
        <v>13</v>
      </c>
    </row>
    <row r="30" spans="1:6">
      <c r="A30" s="35"/>
      <c r="B30" s="36"/>
      <c r="C30" s="33"/>
      <c r="D30" s="2" t="s">
        <v>37</v>
      </c>
      <c r="E30" s="4">
        <v>1</v>
      </c>
      <c r="F30" s="30" t="s">
        <v>13</v>
      </c>
    </row>
    <row r="31" spans="1:6">
      <c r="A31" s="35"/>
      <c r="B31" s="36"/>
      <c r="C31" s="33"/>
      <c r="D31" s="2" t="s">
        <v>14</v>
      </c>
      <c r="E31" s="4">
        <v>1</v>
      </c>
      <c r="F31" s="30" t="s">
        <v>13</v>
      </c>
    </row>
    <row r="32" spans="1:6">
      <c r="A32" s="35"/>
      <c r="B32" s="36"/>
      <c r="C32" s="33"/>
      <c r="D32" s="2" t="s">
        <v>38</v>
      </c>
      <c r="E32" s="4">
        <v>30</v>
      </c>
      <c r="F32" s="30" t="s">
        <v>32</v>
      </c>
    </row>
    <row r="33" spans="1:6">
      <c r="A33" s="35"/>
      <c r="B33" s="36"/>
      <c r="C33" s="33"/>
      <c r="D33" s="2" t="s">
        <v>39</v>
      </c>
      <c r="E33" s="4">
        <v>15</v>
      </c>
      <c r="F33" s="30" t="s">
        <v>9</v>
      </c>
    </row>
    <row r="34" spans="1:6">
      <c r="A34" s="35"/>
      <c r="B34" s="36"/>
      <c r="C34" s="33"/>
      <c r="D34" s="2" t="s">
        <v>15</v>
      </c>
      <c r="E34" s="4">
        <v>1</v>
      </c>
      <c r="F34" s="30" t="s">
        <v>13</v>
      </c>
    </row>
    <row r="35" spans="1:6">
      <c r="A35" s="35"/>
      <c r="B35" s="36"/>
      <c r="C35" s="33"/>
      <c r="D35" s="2" t="s">
        <v>40</v>
      </c>
      <c r="E35" s="4">
        <v>1</v>
      </c>
      <c r="F35" s="30" t="s">
        <v>13</v>
      </c>
    </row>
    <row r="36" spans="1:6">
      <c r="A36" s="35"/>
      <c r="B36" s="36"/>
      <c r="C36" s="33"/>
      <c r="D36" s="2" t="s">
        <v>41</v>
      </c>
      <c r="E36" s="4">
        <v>1</v>
      </c>
      <c r="F36" s="30" t="s">
        <v>13</v>
      </c>
    </row>
    <row r="37" spans="1:6">
      <c r="A37" s="35"/>
      <c r="B37" s="36"/>
      <c r="C37" s="34"/>
      <c r="D37" s="2" t="s">
        <v>16</v>
      </c>
      <c r="E37" s="4">
        <v>1</v>
      </c>
      <c r="F37" s="30" t="s">
        <v>13</v>
      </c>
    </row>
  </sheetData>
  <mergeCells count="9">
    <mergeCell ref="C2:C8"/>
    <mergeCell ref="C9:C19"/>
    <mergeCell ref="C20:C37"/>
    <mergeCell ref="A2:A8"/>
    <mergeCell ref="A20:A37"/>
    <mergeCell ref="A9:A19"/>
    <mergeCell ref="B20:B37"/>
    <mergeCell ref="B9:B19"/>
    <mergeCell ref="B2:B8"/>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1684C65-5330-452F-B6A2-30B76F0A7B31}">
          <x14:formula1>
            <xm:f>Otros!$B$3:$B$6</xm:f>
          </x14:formula1>
          <xm:sqref>F2:F37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F692E-EA55-4A1D-B87D-2511FB385E67}">
  <dimension ref="A1:I24"/>
  <sheetViews>
    <sheetView workbookViewId="0">
      <pane ySplit="1" topLeftCell="A2" activePane="bottomLeft" state="frozen"/>
      <selection pane="bottomLeft" activeCell="C1" sqref="C1"/>
      <selection activeCell="B2" sqref="B2:B28"/>
    </sheetView>
  </sheetViews>
  <sheetFormatPr defaultColWidth="11.5703125" defaultRowHeight="15" customHeight="1"/>
  <cols>
    <col min="1" max="1" width="18.7109375" style="10" bestFit="1" customWidth="1"/>
    <col min="2" max="2" width="10.28515625" style="11" customWidth="1"/>
    <col min="3" max="3" width="112.85546875" style="11" customWidth="1"/>
    <col min="4" max="4" width="19.28515625" style="11" bestFit="1" customWidth="1"/>
    <col min="5" max="5" width="11.5703125" style="13"/>
    <col min="6" max="6" width="11.5703125" style="11"/>
    <col min="7" max="16384" width="11.5703125" style="9"/>
  </cols>
  <sheetData>
    <row r="1" spans="1:9">
      <c r="A1" s="30" t="str">
        <f>Sopas!A1</f>
        <v>Plato</v>
      </c>
      <c r="B1" s="30" t="s">
        <v>1</v>
      </c>
      <c r="C1" s="30" t="s">
        <v>2</v>
      </c>
      <c r="D1" s="30" t="str">
        <f>Sopas!D1</f>
        <v>Ingredientes</v>
      </c>
      <c r="E1" s="3" t="str">
        <f>Sopas!E1</f>
        <v>Cantidades</v>
      </c>
      <c r="F1" s="30" t="str">
        <f>Sopas!F1</f>
        <v>Unidades</v>
      </c>
    </row>
    <row r="2" spans="1:9" ht="18" customHeight="1">
      <c r="A2" s="35" t="s">
        <v>42</v>
      </c>
      <c r="B2" s="37">
        <v>166</v>
      </c>
      <c r="C2" s="31" t="s">
        <v>43</v>
      </c>
      <c r="D2" s="30" t="s">
        <v>44</v>
      </c>
      <c r="E2" s="3">
        <v>2</v>
      </c>
      <c r="F2" s="30" t="s">
        <v>13</v>
      </c>
    </row>
    <row r="3" spans="1:9" ht="15" customHeight="1">
      <c r="A3" s="35"/>
      <c r="B3" s="33"/>
      <c r="C3" s="32"/>
      <c r="D3" s="30" t="s">
        <v>24</v>
      </c>
      <c r="E3" s="3">
        <v>1</v>
      </c>
      <c r="F3" s="30" t="s">
        <v>13</v>
      </c>
    </row>
    <row r="4" spans="1:9" ht="18">
      <c r="A4" s="35"/>
      <c r="B4" s="33"/>
      <c r="C4" s="32"/>
      <c r="D4" s="30" t="s">
        <v>34</v>
      </c>
      <c r="E4" s="3">
        <v>1</v>
      </c>
      <c r="F4" s="30" t="s">
        <v>13</v>
      </c>
      <c r="I4" s="29"/>
    </row>
    <row r="5" spans="1:9" ht="18">
      <c r="A5" s="35"/>
      <c r="B5" s="33"/>
      <c r="C5" s="32"/>
      <c r="D5" s="30" t="s">
        <v>45</v>
      </c>
      <c r="E5" s="3">
        <v>1500</v>
      </c>
      <c r="F5" s="30" t="s">
        <v>32</v>
      </c>
      <c r="I5" s="29"/>
    </row>
    <row r="6" spans="1:9" ht="18">
      <c r="A6" s="35"/>
      <c r="B6" s="33"/>
      <c r="C6" s="32"/>
      <c r="D6" s="2" t="s">
        <v>46</v>
      </c>
      <c r="E6" s="4">
        <v>4</v>
      </c>
      <c r="F6" s="30" t="s">
        <v>47</v>
      </c>
      <c r="I6" s="29"/>
    </row>
    <row r="7" spans="1:9" ht="18">
      <c r="A7" s="35"/>
      <c r="B7" s="33"/>
      <c r="C7" s="32"/>
      <c r="D7" s="2" t="s">
        <v>48</v>
      </c>
      <c r="E7" s="4">
        <v>2</v>
      </c>
      <c r="F7" s="30" t="s">
        <v>13</v>
      </c>
      <c r="I7" s="29"/>
    </row>
    <row r="8" spans="1:9" ht="18">
      <c r="A8" s="35"/>
      <c r="B8" s="33"/>
      <c r="C8" s="32"/>
      <c r="D8" s="2" t="s">
        <v>49</v>
      </c>
      <c r="E8" s="4">
        <v>125</v>
      </c>
      <c r="F8" s="30" t="s">
        <v>32</v>
      </c>
      <c r="I8" s="29"/>
    </row>
    <row r="9" spans="1:9" ht="15" customHeight="1">
      <c r="A9" s="35"/>
      <c r="B9" s="33"/>
      <c r="C9" s="32"/>
      <c r="D9" s="2" t="s">
        <v>50</v>
      </c>
      <c r="E9" s="4">
        <v>100</v>
      </c>
      <c r="F9" s="30" t="s">
        <v>9</v>
      </c>
    </row>
    <row r="10" spans="1:9" ht="15" customHeight="1">
      <c r="A10" s="35"/>
      <c r="B10" s="33"/>
      <c r="C10" s="32"/>
      <c r="D10" s="2" t="s">
        <v>14</v>
      </c>
      <c r="E10" s="4">
        <v>1</v>
      </c>
      <c r="F10" s="30" t="s">
        <v>13</v>
      </c>
    </row>
    <row r="11" spans="1:9" ht="15" customHeight="1">
      <c r="A11" s="35"/>
      <c r="B11" s="33"/>
      <c r="C11" s="32"/>
      <c r="D11" s="2" t="s">
        <v>15</v>
      </c>
      <c r="E11" s="4">
        <v>1</v>
      </c>
      <c r="F11" s="30" t="s">
        <v>13</v>
      </c>
    </row>
    <row r="12" spans="1:9" ht="15" customHeight="1">
      <c r="A12" s="35"/>
      <c r="B12" s="33"/>
      <c r="C12" s="32"/>
      <c r="D12" s="2" t="s">
        <v>51</v>
      </c>
      <c r="E12" s="4">
        <v>1</v>
      </c>
      <c r="F12" s="30" t="s">
        <v>13</v>
      </c>
    </row>
    <row r="13" spans="1:9" ht="15" customHeight="1">
      <c r="A13" s="35"/>
      <c r="B13" s="34"/>
      <c r="C13" s="38"/>
      <c r="D13" s="2" t="s">
        <v>16</v>
      </c>
      <c r="E13" s="4">
        <v>1</v>
      </c>
      <c r="F13" s="30" t="s">
        <v>13</v>
      </c>
    </row>
    <row r="14" spans="1:9">
      <c r="A14" s="35" t="s">
        <v>52</v>
      </c>
      <c r="B14" s="36">
        <v>177</v>
      </c>
      <c r="C14" s="31" t="s">
        <v>53</v>
      </c>
      <c r="D14" s="2" t="s">
        <v>33</v>
      </c>
      <c r="E14" s="4">
        <v>800</v>
      </c>
      <c r="F14" s="30" t="s">
        <v>9</v>
      </c>
    </row>
    <row r="15" spans="1:9">
      <c r="A15" s="35"/>
      <c r="B15" s="36"/>
      <c r="C15" s="33"/>
      <c r="D15" s="2" t="s">
        <v>54</v>
      </c>
      <c r="E15" s="4">
        <v>1</v>
      </c>
      <c r="F15" s="30" t="s">
        <v>13</v>
      </c>
    </row>
    <row r="16" spans="1:9">
      <c r="A16" s="35"/>
      <c r="B16" s="36"/>
      <c r="C16" s="33"/>
      <c r="D16" s="2" t="s">
        <v>24</v>
      </c>
      <c r="E16" s="4">
        <v>0.5</v>
      </c>
      <c r="F16" s="30" t="s">
        <v>13</v>
      </c>
    </row>
    <row r="17" spans="1:6">
      <c r="A17" s="35"/>
      <c r="B17" s="36"/>
      <c r="C17" s="33"/>
      <c r="D17" s="2" t="s">
        <v>34</v>
      </c>
      <c r="E17" s="4">
        <v>0.5</v>
      </c>
      <c r="F17" s="30" t="s">
        <v>13</v>
      </c>
    </row>
    <row r="18" spans="1:6">
      <c r="A18" s="35"/>
      <c r="B18" s="36"/>
      <c r="C18" s="33"/>
      <c r="D18" s="2" t="s">
        <v>55</v>
      </c>
      <c r="E18" s="4">
        <v>100</v>
      </c>
      <c r="F18" s="30" t="s">
        <v>9</v>
      </c>
    </row>
    <row r="19" spans="1:6">
      <c r="A19" s="35"/>
      <c r="B19" s="36"/>
      <c r="C19" s="33"/>
      <c r="D19" s="2" t="s">
        <v>8</v>
      </c>
      <c r="E19" s="4">
        <v>1</v>
      </c>
      <c r="F19" s="30" t="s">
        <v>13</v>
      </c>
    </row>
    <row r="20" spans="1:6">
      <c r="A20" s="35"/>
      <c r="B20" s="36"/>
      <c r="C20" s="33"/>
      <c r="D20" s="2" t="s">
        <v>56</v>
      </c>
      <c r="E20" s="4">
        <v>1</v>
      </c>
      <c r="F20" s="30" t="s">
        <v>47</v>
      </c>
    </row>
    <row r="21" spans="1:6">
      <c r="A21" s="35"/>
      <c r="B21" s="36"/>
      <c r="C21" s="33"/>
      <c r="D21" s="2" t="s">
        <v>14</v>
      </c>
      <c r="E21" s="4">
        <v>50</v>
      </c>
      <c r="F21" s="30" t="s">
        <v>32</v>
      </c>
    </row>
    <row r="22" spans="1:6">
      <c r="A22" s="35"/>
      <c r="B22" s="36"/>
      <c r="C22" s="33"/>
      <c r="D22" s="2" t="s">
        <v>15</v>
      </c>
      <c r="E22" s="4">
        <v>1</v>
      </c>
      <c r="F22" s="30" t="s">
        <v>13</v>
      </c>
    </row>
    <row r="23" spans="1:6">
      <c r="A23" s="35"/>
      <c r="B23" s="36"/>
      <c r="C23" s="33"/>
      <c r="D23" s="2" t="s">
        <v>57</v>
      </c>
      <c r="E23" s="4">
        <v>0.25</v>
      </c>
      <c r="F23" s="30" t="s">
        <v>47</v>
      </c>
    </row>
    <row r="24" spans="1:6">
      <c r="A24" s="35"/>
      <c r="B24" s="36"/>
      <c r="C24" s="34"/>
      <c r="D24" s="2" t="s">
        <v>16</v>
      </c>
      <c r="E24" s="4">
        <v>1</v>
      </c>
      <c r="F24" s="30" t="s">
        <v>13</v>
      </c>
    </row>
  </sheetData>
  <mergeCells count="6">
    <mergeCell ref="A2:A13"/>
    <mergeCell ref="A14:A24"/>
    <mergeCell ref="B14:B24"/>
    <mergeCell ref="B2:B13"/>
    <mergeCell ref="C2:C13"/>
    <mergeCell ref="C14:C24"/>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ED33AFB-7B34-4485-83B5-84DAF3809FEB}">
          <x14:formula1>
            <xm:f>Otros!$B$3:$B$6</xm:f>
          </x14:formula1>
          <xm:sqref>F2:F24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A1BE8-8DAE-4D02-BF62-1E7E5F252100}">
  <dimension ref="A1:F52"/>
  <sheetViews>
    <sheetView zoomScale="98" workbookViewId="0">
      <pane ySplit="1" topLeftCell="C53" activePane="bottomLeft" state="frozen"/>
      <selection pane="bottomLeft" activeCell="C1" sqref="C1"/>
      <selection activeCell="B9" sqref="B9:B19"/>
    </sheetView>
  </sheetViews>
  <sheetFormatPr defaultColWidth="11.5703125" defaultRowHeight="15" customHeight="1"/>
  <cols>
    <col min="1" max="1" width="41" style="6" bestFit="1" customWidth="1"/>
    <col min="2" max="2" width="10.28515625" style="7" customWidth="1"/>
    <col min="3" max="3" width="11" style="7" bestFit="1" customWidth="1"/>
    <col min="4" max="4" width="14.7109375" style="11" bestFit="1" customWidth="1"/>
    <col min="5" max="5" width="11.5703125" style="13"/>
    <col min="6" max="6" width="11.5703125" style="11"/>
    <col min="7" max="16384" width="11.5703125" style="9"/>
  </cols>
  <sheetData>
    <row r="1" spans="1:6">
      <c r="A1" s="30" t="str">
        <f>Sopas!A1</f>
        <v>Plato</v>
      </c>
      <c r="B1" s="30" t="s">
        <v>1</v>
      </c>
      <c r="C1" s="30" t="s">
        <v>2</v>
      </c>
      <c r="D1" s="30" t="str">
        <f>Sopas!D1</f>
        <v>Ingredientes</v>
      </c>
      <c r="E1" s="3" t="str">
        <f>Sopas!E1</f>
        <v>Cantidades</v>
      </c>
      <c r="F1" s="30" t="str">
        <f>Sopas!F1</f>
        <v>Unidades</v>
      </c>
    </row>
    <row r="2" spans="1:6">
      <c r="A2" s="35" t="s">
        <v>58</v>
      </c>
      <c r="B2" s="36">
        <v>214</v>
      </c>
      <c r="C2" s="31" t="s">
        <v>59</v>
      </c>
      <c r="D2" s="2" t="s">
        <v>60</v>
      </c>
      <c r="E2" s="4">
        <v>2</v>
      </c>
      <c r="F2" s="30" t="s">
        <v>13</v>
      </c>
    </row>
    <row r="3" spans="1:6">
      <c r="A3" s="35"/>
      <c r="B3" s="36"/>
      <c r="C3" s="33"/>
      <c r="D3" s="2" t="s">
        <v>44</v>
      </c>
      <c r="E3" s="4">
        <v>1</v>
      </c>
      <c r="F3" s="30" t="s">
        <v>13</v>
      </c>
    </row>
    <row r="4" spans="1:6">
      <c r="A4" s="35"/>
      <c r="B4" s="36"/>
      <c r="C4" s="33"/>
      <c r="D4" s="2" t="s">
        <v>33</v>
      </c>
      <c r="E4" s="4">
        <v>3</v>
      </c>
      <c r="F4" s="30" t="s">
        <v>13</v>
      </c>
    </row>
    <row r="5" spans="1:6">
      <c r="A5" s="35"/>
      <c r="B5" s="36"/>
      <c r="C5" s="33"/>
      <c r="D5" s="2" t="s">
        <v>12</v>
      </c>
      <c r="E5" s="4">
        <v>3</v>
      </c>
      <c r="F5" s="30" t="s">
        <v>13</v>
      </c>
    </row>
    <row r="6" spans="1:6">
      <c r="A6" s="35"/>
      <c r="B6" s="36"/>
      <c r="C6" s="33"/>
      <c r="D6" s="2" t="s">
        <v>24</v>
      </c>
      <c r="E6" s="4">
        <v>1</v>
      </c>
      <c r="F6" s="30" t="s">
        <v>13</v>
      </c>
    </row>
    <row r="7" spans="1:6">
      <c r="A7" s="35"/>
      <c r="B7" s="36"/>
      <c r="C7" s="33"/>
      <c r="D7" s="2" t="s">
        <v>23</v>
      </c>
      <c r="E7" s="4">
        <v>1</v>
      </c>
      <c r="F7" s="30" t="s">
        <v>13</v>
      </c>
    </row>
    <row r="8" spans="1:6">
      <c r="A8" s="35"/>
      <c r="B8" s="36"/>
      <c r="C8" s="33"/>
      <c r="D8" s="2" t="s">
        <v>61</v>
      </c>
      <c r="E8" s="4">
        <v>1</v>
      </c>
      <c r="F8" s="30" t="s">
        <v>47</v>
      </c>
    </row>
    <row r="9" spans="1:6">
      <c r="A9" s="35"/>
      <c r="B9" s="36"/>
      <c r="C9" s="33"/>
      <c r="D9" s="2" t="s">
        <v>62</v>
      </c>
      <c r="E9" s="4">
        <v>100</v>
      </c>
      <c r="F9" s="30" t="s">
        <v>32</v>
      </c>
    </row>
    <row r="10" spans="1:6">
      <c r="A10" s="35"/>
      <c r="B10" s="36"/>
      <c r="C10" s="33"/>
      <c r="D10" s="2" t="s">
        <v>63</v>
      </c>
      <c r="E10" s="4">
        <v>50</v>
      </c>
      <c r="F10" s="30" t="s">
        <v>9</v>
      </c>
    </row>
    <row r="11" spans="1:6">
      <c r="A11" s="35"/>
      <c r="B11" s="36"/>
      <c r="C11" s="33"/>
      <c r="D11" s="2" t="s">
        <v>61</v>
      </c>
      <c r="E11" s="4">
        <v>1</v>
      </c>
      <c r="F11" s="30" t="s">
        <v>13</v>
      </c>
    </row>
    <row r="12" spans="1:6">
      <c r="A12" s="35"/>
      <c r="B12" s="36"/>
      <c r="C12" s="33"/>
      <c r="D12" s="2" t="s">
        <v>14</v>
      </c>
      <c r="E12" s="4">
        <v>1</v>
      </c>
      <c r="F12" s="30" t="s">
        <v>13</v>
      </c>
    </row>
    <row r="13" spans="1:6">
      <c r="A13" s="35"/>
      <c r="B13" s="36"/>
      <c r="C13" s="33"/>
      <c r="D13" s="2" t="s">
        <v>15</v>
      </c>
      <c r="E13" s="4">
        <v>1</v>
      </c>
      <c r="F13" s="30" t="s">
        <v>13</v>
      </c>
    </row>
    <row r="14" spans="1:6">
      <c r="A14" s="35"/>
      <c r="B14" s="36"/>
      <c r="C14" s="34"/>
      <c r="D14" s="2" t="s">
        <v>16</v>
      </c>
      <c r="E14" s="4">
        <v>1</v>
      </c>
      <c r="F14" s="30" t="s">
        <v>13</v>
      </c>
    </row>
    <row r="15" spans="1:6">
      <c r="A15" s="35" t="s">
        <v>64</v>
      </c>
      <c r="B15" s="36">
        <v>224</v>
      </c>
      <c r="C15" s="31" t="s">
        <v>65</v>
      </c>
      <c r="D15" s="2" t="s">
        <v>66</v>
      </c>
      <c r="E15" s="4">
        <v>2</v>
      </c>
      <c r="F15" s="30" t="s">
        <v>13</v>
      </c>
    </row>
    <row r="16" spans="1:6">
      <c r="A16" s="35"/>
      <c r="B16" s="36"/>
      <c r="C16" s="33"/>
      <c r="D16" s="2" t="s">
        <v>12</v>
      </c>
      <c r="E16" s="4">
        <v>3</v>
      </c>
      <c r="F16" s="30" t="s">
        <v>13</v>
      </c>
    </row>
    <row r="17" spans="1:6">
      <c r="A17" s="35"/>
      <c r="B17" s="36"/>
      <c r="C17" s="33"/>
      <c r="D17" s="2" t="s">
        <v>33</v>
      </c>
      <c r="E17" s="4">
        <v>1</v>
      </c>
      <c r="F17" s="30" t="s">
        <v>13</v>
      </c>
    </row>
    <row r="18" spans="1:6">
      <c r="A18" s="35"/>
      <c r="B18" s="36"/>
      <c r="C18" s="33"/>
      <c r="D18" s="2" t="s">
        <v>34</v>
      </c>
      <c r="E18" s="4">
        <v>1</v>
      </c>
      <c r="F18" s="30" t="s">
        <v>13</v>
      </c>
    </row>
    <row r="19" spans="1:6">
      <c r="A19" s="35"/>
      <c r="B19" s="36"/>
      <c r="C19" s="33"/>
      <c r="D19" s="2" t="s">
        <v>67</v>
      </c>
      <c r="E19" s="4">
        <v>300</v>
      </c>
      <c r="F19" s="30" t="s">
        <v>9</v>
      </c>
    </row>
    <row r="20" spans="1:6">
      <c r="A20" s="35"/>
      <c r="B20" s="36"/>
      <c r="C20" s="33"/>
      <c r="D20" s="2" t="s">
        <v>14</v>
      </c>
      <c r="E20" s="4">
        <v>1</v>
      </c>
      <c r="F20" s="30" t="s">
        <v>13</v>
      </c>
    </row>
    <row r="21" spans="1:6">
      <c r="A21" s="35"/>
      <c r="B21" s="36"/>
      <c r="C21" s="33"/>
      <c r="D21" s="2" t="s">
        <v>15</v>
      </c>
      <c r="E21" s="4">
        <v>1</v>
      </c>
      <c r="F21" s="30" t="s">
        <v>13</v>
      </c>
    </row>
    <row r="22" spans="1:6">
      <c r="A22" s="35"/>
      <c r="B22" s="36"/>
      <c r="C22" s="33"/>
      <c r="D22" s="2" t="s">
        <v>51</v>
      </c>
      <c r="E22" s="4">
        <v>1</v>
      </c>
      <c r="F22" s="30" t="s">
        <v>13</v>
      </c>
    </row>
    <row r="23" spans="1:6">
      <c r="A23" s="35"/>
      <c r="B23" s="36"/>
      <c r="C23" s="33"/>
      <c r="D23" s="2" t="s">
        <v>16</v>
      </c>
      <c r="E23" s="4">
        <v>1</v>
      </c>
      <c r="F23" s="30" t="s">
        <v>13</v>
      </c>
    </row>
    <row r="24" spans="1:6">
      <c r="A24" s="35"/>
      <c r="B24" s="36"/>
      <c r="C24" s="33"/>
      <c r="D24" s="2" t="s">
        <v>68</v>
      </c>
      <c r="E24" s="4">
        <v>100</v>
      </c>
      <c r="F24" s="30" t="s">
        <v>9</v>
      </c>
    </row>
    <row r="25" spans="1:6">
      <c r="A25" s="35"/>
      <c r="B25" s="36"/>
      <c r="C25" s="33"/>
      <c r="D25" s="2" t="s">
        <v>61</v>
      </c>
      <c r="E25" s="4">
        <v>30</v>
      </c>
      <c r="F25" s="30" t="s">
        <v>9</v>
      </c>
    </row>
    <row r="26" spans="1:6">
      <c r="A26" s="35"/>
      <c r="B26" s="36"/>
      <c r="C26" s="33"/>
      <c r="D26" s="2" t="s">
        <v>69</v>
      </c>
      <c r="E26" s="4">
        <v>350</v>
      </c>
      <c r="F26" s="30" t="s">
        <v>32</v>
      </c>
    </row>
    <row r="27" spans="1:6">
      <c r="A27" s="35"/>
      <c r="B27" s="36"/>
      <c r="C27" s="33"/>
      <c r="D27" s="2" t="s">
        <v>14</v>
      </c>
      <c r="E27" s="4">
        <v>2</v>
      </c>
      <c r="F27" s="30" t="s">
        <v>47</v>
      </c>
    </row>
    <row r="28" spans="1:6">
      <c r="A28" s="35"/>
      <c r="B28" s="36"/>
      <c r="C28" s="34"/>
      <c r="D28" s="2" t="s">
        <v>16</v>
      </c>
      <c r="E28" s="4">
        <v>1</v>
      </c>
      <c r="F28" s="30" t="s">
        <v>13</v>
      </c>
    </row>
    <row r="29" spans="1:6">
      <c r="A29" s="35" t="s">
        <v>70</v>
      </c>
      <c r="B29" s="36">
        <v>254</v>
      </c>
      <c r="C29" s="31" t="s">
        <v>71</v>
      </c>
      <c r="D29" s="2" t="s">
        <v>60</v>
      </c>
      <c r="E29" s="4">
        <v>4</v>
      </c>
      <c r="F29" s="30" t="s">
        <v>13</v>
      </c>
    </row>
    <row r="30" spans="1:6">
      <c r="A30" s="35"/>
      <c r="B30" s="36"/>
      <c r="C30" s="33"/>
      <c r="D30" s="2" t="s">
        <v>72</v>
      </c>
      <c r="E30" s="4">
        <v>150</v>
      </c>
      <c r="F30" s="30" t="s">
        <v>9</v>
      </c>
    </row>
    <row r="31" spans="1:6">
      <c r="A31" s="35"/>
      <c r="B31" s="36"/>
      <c r="C31" s="33"/>
      <c r="D31" s="2" t="s">
        <v>73</v>
      </c>
      <c r="E31" s="4">
        <v>150</v>
      </c>
      <c r="F31" s="30" t="s">
        <v>9</v>
      </c>
    </row>
    <row r="32" spans="1:6">
      <c r="A32" s="35"/>
      <c r="B32" s="36"/>
      <c r="C32" s="33"/>
      <c r="D32" s="2" t="s">
        <v>74</v>
      </c>
      <c r="E32" s="4">
        <v>5</v>
      </c>
      <c r="F32" s="30" t="s">
        <v>13</v>
      </c>
    </row>
    <row r="33" spans="1:6">
      <c r="A33" s="35"/>
      <c r="B33" s="36"/>
      <c r="C33" s="33"/>
      <c r="D33" s="2" t="s">
        <v>69</v>
      </c>
      <c r="E33" s="4">
        <v>150</v>
      </c>
      <c r="F33" s="30" t="s">
        <v>32</v>
      </c>
    </row>
    <row r="34" spans="1:6">
      <c r="A34" s="35"/>
      <c r="B34" s="36"/>
      <c r="C34" s="33"/>
      <c r="D34" s="2" t="s">
        <v>75</v>
      </c>
      <c r="E34" s="4">
        <v>1</v>
      </c>
      <c r="F34" s="30" t="s">
        <v>13</v>
      </c>
    </row>
    <row r="35" spans="1:6">
      <c r="A35" s="35"/>
      <c r="B35" s="36"/>
      <c r="C35" s="33"/>
      <c r="D35" s="2" t="s">
        <v>61</v>
      </c>
      <c r="E35" s="4">
        <v>1</v>
      </c>
      <c r="F35" s="30" t="s">
        <v>13</v>
      </c>
    </row>
    <row r="36" spans="1:6">
      <c r="A36" s="35"/>
      <c r="B36" s="36"/>
      <c r="C36" s="33"/>
      <c r="D36" s="2" t="s">
        <v>76</v>
      </c>
      <c r="E36" s="4">
        <v>250</v>
      </c>
      <c r="F36" s="30" t="s">
        <v>32</v>
      </c>
    </row>
    <row r="37" spans="1:6">
      <c r="A37" s="35"/>
      <c r="B37" s="36"/>
      <c r="C37" s="33"/>
      <c r="D37" s="2" t="s">
        <v>14</v>
      </c>
      <c r="E37" s="4">
        <v>1</v>
      </c>
      <c r="F37" s="30" t="s">
        <v>13</v>
      </c>
    </row>
    <row r="38" spans="1:6">
      <c r="A38" s="35"/>
      <c r="B38" s="36"/>
      <c r="C38" s="33"/>
      <c r="D38" s="2" t="s">
        <v>15</v>
      </c>
      <c r="E38" s="4">
        <v>1</v>
      </c>
      <c r="F38" s="30" t="s">
        <v>13</v>
      </c>
    </row>
    <row r="39" spans="1:6">
      <c r="A39" s="35"/>
      <c r="B39" s="36"/>
      <c r="C39" s="33"/>
      <c r="D39" s="2" t="s">
        <v>51</v>
      </c>
      <c r="E39" s="4">
        <v>1</v>
      </c>
      <c r="F39" s="30" t="s">
        <v>13</v>
      </c>
    </row>
    <row r="40" spans="1:6">
      <c r="A40" s="35"/>
      <c r="B40" s="36"/>
      <c r="C40" s="34"/>
      <c r="D40" s="2" t="s">
        <v>16</v>
      </c>
      <c r="E40" s="4">
        <v>1</v>
      </c>
      <c r="F40" s="30" t="s">
        <v>13</v>
      </c>
    </row>
    <row r="41" spans="1:6">
      <c r="A41" s="35" t="s">
        <v>77</v>
      </c>
      <c r="B41" s="36">
        <v>255</v>
      </c>
      <c r="C41" s="31" t="s">
        <v>78</v>
      </c>
      <c r="D41" s="2" t="s">
        <v>44</v>
      </c>
      <c r="E41" s="4">
        <v>2</v>
      </c>
      <c r="F41" s="30" t="s">
        <v>13</v>
      </c>
    </row>
    <row r="42" spans="1:6">
      <c r="A42" s="35"/>
      <c r="B42" s="36"/>
      <c r="C42" s="33"/>
      <c r="D42" s="2" t="s">
        <v>24</v>
      </c>
      <c r="E42" s="4">
        <v>2</v>
      </c>
      <c r="F42" s="30" t="s">
        <v>13</v>
      </c>
    </row>
    <row r="43" spans="1:6">
      <c r="A43" s="35"/>
      <c r="B43" s="36"/>
      <c r="C43" s="33"/>
      <c r="D43" s="2" t="s">
        <v>74</v>
      </c>
      <c r="E43" s="4">
        <v>2</v>
      </c>
      <c r="F43" s="30" t="s">
        <v>13</v>
      </c>
    </row>
    <row r="44" spans="1:6">
      <c r="A44" s="35"/>
      <c r="B44" s="36"/>
      <c r="C44" s="33"/>
      <c r="D44" s="2" t="s">
        <v>69</v>
      </c>
      <c r="E44" s="4">
        <v>100</v>
      </c>
      <c r="F44" s="30" t="s">
        <v>32</v>
      </c>
    </row>
    <row r="45" spans="1:6">
      <c r="A45" s="35"/>
      <c r="B45" s="36"/>
      <c r="C45" s="33"/>
      <c r="D45" s="2" t="s">
        <v>79</v>
      </c>
      <c r="E45" s="4">
        <v>100</v>
      </c>
      <c r="F45" s="30" t="s">
        <v>32</v>
      </c>
    </row>
    <row r="46" spans="1:6">
      <c r="A46" s="35"/>
      <c r="B46" s="36"/>
      <c r="C46" s="33"/>
      <c r="D46" s="2" t="s">
        <v>80</v>
      </c>
      <c r="E46" s="4">
        <v>100</v>
      </c>
      <c r="F46" s="30" t="s">
        <v>9</v>
      </c>
    </row>
    <row r="47" spans="1:6">
      <c r="A47" s="35"/>
      <c r="B47" s="36"/>
      <c r="C47" s="33"/>
      <c r="D47" s="2" t="s">
        <v>76</v>
      </c>
      <c r="E47" s="4">
        <v>250</v>
      </c>
      <c r="F47" s="30" t="s">
        <v>32</v>
      </c>
    </row>
    <row r="48" spans="1:6">
      <c r="A48" s="35"/>
      <c r="B48" s="36"/>
      <c r="C48" s="33"/>
      <c r="D48" s="2" t="s">
        <v>61</v>
      </c>
      <c r="E48" s="4">
        <v>2</v>
      </c>
      <c r="F48" s="30" t="s">
        <v>47</v>
      </c>
    </row>
    <row r="49" spans="1:6">
      <c r="A49" s="35"/>
      <c r="B49" s="36"/>
      <c r="C49" s="33"/>
      <c r="D49" s="2" t="s">
        <v>14</v>
      </c>
      <c r="E49" s="4">
        <v>1</v>
      </c>
      <c r="F49" s="30" t="s">
        <v>13</v>
      </c>
    </row>
    <row r="50" spans="1:6">
      <c r="A50" s="35"/>
      <c r="B50" s="36"/>
      <c r="C50" s="33"/>
      <c r="D50" s="2" t="s">
        <v>81</v>
      </c>
      <c r="E50" s="4">
        <v>1</v>
      </c>
      <c r="F50" s="30" t="s">
        <v>13</v>
      </c>
    </row>
    <row r="51" spans="1:6">
      <c r="A51" s="35"/>
      <c r="B51" s="36"/>
      <c r="C51" s="33"/>
      <c r="D51" s="2" t="s">
        <v>16</v>
      </c>
      <c r="E51" s="4">
        <v>1</v>
      </c>
      <c r="F51" s="30" t="s">
        <v>13</v>
      </c>
    </row>
    <row r="52" spans="1:6">
      <c r="A52" s="35"/>
      <c r="B52" s="36"/>
      <c r="C52" s="34"/>
      <c r="D52" s="2" t="s">
        <v>15</v>
      </c>
      <c r="E52" s="4">
        <v>1</v>
      </c>
      <c r="F52" s="30" t="s">
        <v>13</v>
      </c>
    </row>
  </sheetData>
  <mergeCells count="12">
    <mergeCell ref="C2:C14"/>
    <mergeCell ref="C15:C28"/>
    <mergeCell ref="C29:C40"/>
    <mergeCell ref="C41:C52"/>
    <mergeCell ref="A2:A14"/>
    <mergeCell ref="A15:A28"/>
    <mergeCell ref="A29:A40"/>
    <mergeCell ref="A41:A52"/>
    <mergeCell ref="B29:B40"/>
    <mergeCell ref="B15:B28"/>
    <mergeCell ref="B2:B14"/>
    <mergeCell ref="B41:B5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E8DD10C-80DE-491D-874D-D24702BBD892}">
          <x14:formula1>
            <xm:f>Otros!$B$3:$B$6</xm:f>
          </x14:formula1>
          <xm:sqref>F2:F52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D15C6-4F40-4CC7-AF4A-831B904CC20F}">
  <dimension ref="A1:F102"/>
  <sheetViews>
    <sheetView workbookViewId="0">
      <pane ySplit="1" topLeftCell="C26" activePane="bottomLeft" state="frozen"/>
      <selection pane="bottomLeft" activeCell="C1" sqref="C1"/>
      <selection activeCell="B2" sqref="B2:B28"/>
    </sheetView>
  </sheetViews>
  <sheetFormatPr defaultColWidth="11.5703125" defaultRowHeight="14.45"/>
  <cols>
    <col min="1" max="1" width="29.28515625" style="6" bestFit="1" customWidth="1"/>
    <col min="2" max="3" width="10.28515625" style="7" customWidth="1"/>
    <col min="4" max="4" width="17.28515625" style="7" bestFit="1" customWidth="1"/>
    <col min="5" max="5" width="10.140625" style="8" bestFit="1" customWidth="1"/>
    <col min="6" max="6" width="8.5703125" style="7" bestFit="1" customWidth="1"/>
    <col min="7" max="16384" width="11.5703125" style="9"/>
  </cols>
  <sheetData>
    <row r="1" spans="1:6" ht="15">
      <c r="A1" s="30" t="str">
        <f>Sopas!A1</f>
        <v>Plato</v>
      </c>
      <c r="B1" s="30" t="s">
        <v>1</v>
      </c>
      <c r="C1" s="30" t="s">
        <v>2</v>
      </c>
      <c r="D1" s="30" t="str">
        <f>Sopas!D1</f>
        <v>Ingredientes</v>
      </c>
      <c r="E1" s="3" t="str">
        <f>Sopas!E1</f>
        <v>Cantidades</v>
      </c>
      <c r="F1" s="30" t="str">
        <f>Sopas!F1</f>
        <v>Unidades</v>
      </c>
    </row>
    <row r="2" spans="1:6" ht="14.45" customHeight="1">
      <c r="A2" s="35" t="s">
        <v>82</v>
      </c>
      <c r="B2" s="36">
        <v>291</v>
      </c>
      <c r="C2" s="31" t="s">
        <v>83</v>
      </c>
      <c r="D2" s="30" t="s">
        <v>84</v>
      </c>
      <c r="E2" s="3">
        <v>400</v>
      </c>
      <c r="F2" s="30" t="s">
        <v>9</v>
      </c>
    </row>
    <row r="3" spans="1:6" ht="14.45" customHeight="1">
      <c r="A3" s="35"/>
      <c r="B3" s="36"/>
      <c r="C3" s="33"/>
      <c r="D3" s="30" t="s">
        <v>85</v>
      </c>
      <c r="E3" s="3">
        <v>4</v>
      </c>
      <c r="F3" s="30" t="s">
        <v>9</v>
      </c>
    </row>
    <row r="4" spans="1:6" ht="14.45" customHeight="1">
      <c r="A4" s="35"/>
      <c r="B4" s="36"/>
      <c r="C4" s="33"/>
      <c r="D4" s="30" t="s">
        <v>23</v>
      </c>
      <c r="E4" s="3">
        <v>1</v>
      </c>
      <c r="F4" s="30" t="s">
        <v>13</v>
      </c>
    </row>
    <row r="5" spans="1:6" ht="14.45" customHeight="1">
      <c r="A5" s="35"/>
      <c r="B5" s="36"/>
      <c r="C5" s="33"/>
      <c r="D5" s="30" t="s">
        <v>24</v>
      </c>
      <c r="E5" s="3">
        <v>1</v>
      </c>
      <c r="F5" s="30" t="s">
        <v>13</v>
      </c>
    </row>
    <row r="6" spans="1:6" ht="14.45" customHeight="1">
      <c r="A6" s="35"/>
      <c r="B6" s="36"/>
      <c r="C6" s="33"/>
      <c r="D6" s="30" t="s">
        <v>14</v>
      </c>
      <c r="E6" s="3">
        <v>1</v>
      </c>
      <c r="F6" s="30" t="s">
        <v>13</v>
      </c>
    </row>
    <row r="7" spans="1:6" ht="14.45" customHeight="1">
      <c r="A7" s="35"/>
      <c r="B7" s="36"/>
      <c r="C7" s="33"/>
      <c r="D7" s="30" t="s">
        <v>86</v>
      </c>
      <c r="E7" s="3">
        <v>2</v>
      </c>
      <c r="F7" s="30" t="s">
        <v>13</v>
      </c>
    </row>
    <row r="8" spans="1:6" ht="14.45" customHeight="1">
      <c r="A8" s="35"/>
      <c r="B8" s="36"/>
      <c r="C8" s="33"/>
      <c r="D8" s="30" t="s">
        <v>15</v>
      </c>
      <c r="E8" s="3">
        <v>1</v>
      </c>
      <c r="F8" s="30" t="s">
        <v>13</v>
      </c>
    </row>
    <row r="9" spans="1:6" ht="14.45" customHeight="1">
      <c r="A9" s="35"/>
      <c r="B9" s="36"/>
      <c r="C9" s="34"/>
      <c r="D9" s="30" t="s">
        <v>16</v>
      </c>
      <c r="E9" s="3">
        <v>1</v>
      </c>
      <c r="F9" s="30" t="s">
        <v>13</v>
      </c>
    </row>
    <row r="10" spans="1:6" ht="15">
      <c r="A10" s="35" t="s">
        <v>87</v>
      </c>
      <c r="B10" s="36">
        <v>296</v>
      </c>
      <c r="C10" s="31" t="s">
        <v>88</v>
      </c>
      <c r="D10" s="30" t="s">
        <v>89</v>
      </c>
      <c r="E10" s="3">
        <v>400</v>
      </c>
      <c r="F10" s="30" t="s">
        <v>9</v>
      </c>
    </row>
    <row r="11" spans="1:6" ht="14.45" customHeight="1">
      <c r="A11" s="35"/>
      <c r="B11" s="36"/>
      <c r="C11" s="33"/>
      <c r="D11" s="30" t="s">
        <v>90</v>
      </c>
      <c r="E11" s="3">
        <v>1</v>
      </c>
      <c r="F11" s="30" t="s">
        <v>13</v>
      </c>
    </row>
    <row r="12" spans="1:6" ht="14.45" customHeight="1">
      <c r="A12" s="35"/>
      <c r="B12" s="36"/>
      <c r="C12" s="33"/>
      <c r="D12" s="30" t="s">
        <v>12</v>
      </c>
      <c r="E12" s="3">
        <v>5</v>
      </c>
      <c r="F12" s="30" t="s">
        <v>13</v>
      </c>
    </row>
    <row r="13" spans="1:6" ht="14.45" customHeight="1">
      <c r="A13" s="35"/>
      <c r="B13" s="36"/>
      <c r="C13" s="33"/>
      <c r="D13" s="30" t="s">
        <v>24</v>
      </c>
      <c r="E13" s="3">
        <v>1</v>
      </c>
      <c r="F13" s="30" t="s">
        <v>13</v>
      </c>
    </row>
    <row r="14" spans="1:6" ht="14.45" customHeight="1">
      <c r="A14" s="35"/>
      <c r="B14" s="36"/>
      <c r="C14" s="33"/>
      <c r="D14" s="30" t="s">
        <v>34</v>
      </c>
      <c r="E14" s="3">
        <v>1</v>
      </c>
      <c r="F14" s="30" t="s">
        <v>13</v>
      </c>
    </row>
    <row r="15" spans="1:6" ht="14.45" customHeight="1">
      <c r="A15" s="35"/>
      <c r="B15" s="36"/>
      <c r="C15" s="33"/>
      <c r="D15" s="30" t="s">
        <v>76</v>
      </c>
      <c r="E15" s="3">
        <v>100</v>
      </c>
      <c r="F15" s="30" t="s">
        <v>32</v>
      </c>
    </row>
    <row r="16" spans="1:6" ht="14.45" customHeight="1">
      <c r="A16" s="35"/>
      <c r="B16" s="36"/>
      <c r="C16" s="33"/>
      <c r="D16" s="30" t="s">
        <v>91</v>
      </c>
      <c r="E16" s="3">
        <v>2</v>
      </c>
      <c r="F16" s="30" t="s">
        <v>13</v>
      </c>
    </row>
    <row r="17" spans="1:6" ht="14.45" customHeight="1">
      <c r="A17" s="35"/>
      <c r="B17" s="36"/>
      <c r="C17" s="33"/>
      <c r="D17" s="30" t="s">
        <v>73</v>
      </c>
      <c r="E17" s="3">
        <v>100</v>
      </c>
      <c r="F17" s="30" t="s">
        <v>9</v>
      </c>
    </row>
    <row r="18" spans="1:6" ht="14.45" customHeight="1">
      <c r="A18" s="35"/>
      <c r="B18" s="36"/>
      <c r="C18" s="33"/>
      <c r="D18" s="30" t="s">
        <v>92</v>
      </c>
      <c r="E18" s="3">
        <v>250</v>
      </c>
      <c r="F18" s="30" t="s">
        <v>9</v>
      </c>
    </row>
    <row r="19" spans="1:6" ht="14.45" customHeight="1">
      <c r="A19" s="35"/>
      <c r="B19" s="36"/>
      <c r="C19" s="33"/>
      <c r="D19" s="30" t="s">
        <v>60</v>
      </c>
      <c r="E19" s="3">
        <v>2</v>
      </c>
      <c r="F19" s="30" t="s">
        <v>13</v>
      </c>
    </row>
    <row r="20" spans="1:6" ht="14.45" customHeight="1">
      <c r="A20" s="35"/>
      <c r="B20" s="36"/>
      <c r="C20" s="33"/>
      <c r="D20" s="30" t="s">
        <v>14</v>
      </c>
      <c r="E20" s="3">
        <v>1</v>
      </c>
      <c r="F20" s="30" t="s">
        <v>13</v>
      </c>
    </row>
    <row r="21" spans="1:6" ht="14.45" customHeight="1">
      <c r="A21" s="35"/>
      <c r="B21" s="36"/>
      <c r="C21" s="33"/>
      <c r="D21" s="30" t="s">
        <v>86</v>
      </c>
      <c r="E21" s="3">
        <v>1</v>
      </c>
      <c r="F21" s="30" t="s">
        <v>13</v>
      </c>
    </row>
    <row r="22" spans="1:6" ht="14.45" customHeight="1">
      <c r="A22" s="35"/>
      <c r="B22" s="36"/>
      <c r="C22" s="33"/>
      <c r="D22" s="30" t="s">
        <v>15</v>
      </c>
      <c r="E22" s="3">
        <v>1</v>
      </c>
      <c r="F22" s="30" t="s">
        <v>13</v>
      </c>
    </row>
    <row r="23" spans="1:6" ht="14.45" customHeight="1">
      <c r="A23" s="35"/>
      <c r="B23" s="36"/>
      <c r="C23" s="33"/>
      <c r="D23" s="30" t="s">
        <v>93</v>
      </c>
      <c r="E23" s="3">
        <v>1</v>
      </c>
      <c r="F23" s="30" t="s">
        <v>47</v>
      </c>
    </row>
    <row r="24" spans="1:6" ht="14.45" customHeight="1">
      <c r="A24" s="35"/>
      <c r="B24" s="36"/>
      <c r="C24" s="33"/>
      <c r="D24" s="30" t="s">
        <v>57</v>
      </c>
      <c r="E24" s="3">
        <v>0.25</v>
      </c>
      <c r="F24" s="30" t="s">
        <v>47</v>
      </c>
    </row>
    <row r="25" spans="1:6" ht="14.45" customHeight="1">
      <c r="A25" s="35"/>
      <c r="B25" s="36"/>
      <c r="C25" s="34"/>
      <c r="D25" s="30" t="s">
        <v>16</v>
      </c>
      <c r="E25" s="3">
        <v>1</v>
      </c>
      <c r="F25" s="30" t="s">
        <v>13</v>
      </c>
    </row>
    <row r="26" spans="1:6" ht="15">
      <c r="A26" s="35" t="s">
        <v>94</v>
      </c>
      <c r="B26" s="36">
        <v>300</v>
      </c>
      <c r="C26" s="31" t="s">
        <v>95</v>
      </c>
      <c r="D26" s="30" t="s">
        <v>96</v>
      </c>
      <c r="E26" s="3">
        <v>300</v>
      </c>
      <c r="F26" s="30" t="s">
        <v>9</v>
      </c>
    </row>
    <row r="27" spans="1:6" ht="14.45" customHeight="1">
      <c r="A27" s="35"/>
      <c r="B27" s="36"/>
      <c r="C27" s="33"/>
      <c r="D27" s="30" t="s">
        <v>91</v>
      </c>
      <c r="E27" s="3">
        <v>100</v>
      </c>
      <c r="F27" s="30" t="s">
        <v>9</v>
      </c>
    </row>
    <row r="28" spans="1:6" ht="14.45" customHeight="1">
      <c r="A28" s="35"/>
      <c r="B28" s="36"/>
      <c r="C28" s="33"/>
      <c r="D28" s="30" t="s">
        <v>73</v>
      </c>
      <c r="E28" s="3">
        <v>200</v>
      </c>
      <c r="F28" s="30" t="s">
        <v>9</v>
      </c>
    </row>
    <row r="29" spans="1:6" ht="14.45" customHeight="1">
      <c r="A29" s="35"/>
      <c r="B29" s="36"/>
      <c r="C29" s="33"/>
      <c r="D29" s="30" t="s">
        <v>24</v>
      </c>
      <c r="E29" s="3">
        <v>1</v>
      </c>
      <c r="F29" s="30" t="s">
        <v>13</v>
      </c>
    </row>
    <row r="30" spans="1:6" ht="14.45" customHeight="1">
      <c r="A30" s="35"/>
      <c r="B30" s="36"/>
      <c r="C30" s="33"/>
      <c r="D30" s="30" t="s">
        <v>33</v>
      </c>
      <c r="E30" s="3">
        <v>1</v>
      </c>
      <c r="F30" s="30" t="s">
        <v>13</v>
      </c>
    </row>
    <row r="31" spans="1:6" ht="14.45" customHeight="1">
      <c r="A31" s="35"/>
      <c r="B31" s="36"/>
      <c r="C31" s="33"/>
      <c r="D31" s="30" t="s">
        <v>23</v>
      </c>
      <c r="E31" s="3">
        <v>1</v>
      </c>
      <c r="F31" s="30" t="s">
        <v>13</v>
      </c>
    </row>
    <row r="32" spans="1:6" ht="14.45" customHeight="1">
      <c r="A32" s="35"/>
      <c r="B32" s="36"/>
      <c r="C32" s="33"/>
      <c r="D32" s="30" t="s">
        <v>14</v>
      </c>
      <c r="E32" s="3">
        <v>1</v>
      </c>
      <c r="F32" s="30" t="s">
        <v>13</v>
      </c>
    </row>
    <row r="33" spans="1:6" ht="14.45" customHeight="1">
      <c r="A33" s="35"/>
      <c r="B33" s="36"/>
      <c r="C33" s="33"/>
      <c r="D33" s="30" t="s">
        <v>15</v>
      </c>
      <c r="E33" s="3">
        <v>1</v>
      </c>
      <c r="F33" s="30" t="s">
        <v>13</v>
      </c>
    </row>
    <row r="34" spans="1:6" ht="14.45" customHeight="1">
      <c r="A34" s="35"/>
      <c r="B34" s="36"/>
      <c r="C34" s="33"/>
      <c r="D34" s="30" t="s">
        <v>93</v>
      </c>
      <c r="E34" s="3">
        <v>0.5</v>
      </c>
      <c r="F34" s="30" t="s">
        <v>47</v>
      </c>
    </row>
    <row r="35" spans="1:6" ht="14.45" customHeight="1">
      <c r="A35" s="35"/>
      <c r="B35" s="36"/>
      <c r="C35" s="34"/>
      <c r="D35" s="30" t="s">
        <v>16</v>
      </c>
      <c r="E35" s="3">
        <v>1</v>
      </c>
      <c r="F35" s="30" t="s">
        <v>13</v>
      </c>
    </row>
    <row r="36" spans="1:6" ht="15">
      <c r="A36" s="35" t="s">
        <v>97</v>
      </c>
      <c r="B36" s="36">
        <v>302</v>
      </c>
      <c r="C36" s="31" t="s">
        <v>98</v>
      </c>
      <c r="D36" s="30" t="s">
        <v>99</v>
      </c>
      <c r="E36" s="3">
        <v>300</v>
      </c>
      <c r="F36" s="30" t="s">
        <v>9</v>
      </c>
    </row>
    <row r="37" spans="1:6" ht="14.45" customHeight="1">
      <c r="A37" s="35"/>
      <c r="B37" s="36"/>
      <c r="C37" s="33"/>
      <c r="D37" s="30" t="s">
        <v>73</v>
      </c>
      <c r="E37" s="3">
        <v>250</v>
      </c>
      <c r="F37" s="30" t="s">
        <v>9</v>
      </c>
    </row>
    <row r="38" spans="1:6" ht="14.45" customHeight="1">
      <c r="A38" s="35"/>
      <c r="B38" s="36"/>
      <c r="C38" s="33"/>
      <c r="D38" s="30" t="s">
        <v>24</v>
      </c>
      <c r="E38" s="3">
        <v>1</v>
      </c>
      <c r="F38" s="30" t="s">
        <v>13</v>
      </c>
    </row>
    <row r="39" spans="1:6" ht="14.45" customHeight="1">
      <c r="A39" s="35"/>
      <c r="B39" s="36"/>
      <c r="C39" s="33"/>
      <c r="D39" s="30" t="s">
        <v>23</v>
      </c>
      <c r="E39" s="3">
        <v>2</v>
      </c>
      <c r="F39" s="30" t="s">
        <v>13</v>
      </c>
    </row>
    <row r="40" spans="1:6" ht="14.45" customHeight="1">
      <c r="A40" s="35"/>
      <c r="B40" s="36"/>
      <c r="C40" s="33"/>
      <c r="D40" s="30" t="s">
        <v>33</v>
      </c>
      <c r="E40" s="3">
        <v>1</v>
      </c>
      <c r="F40" s="30" t="s">
        <v>13</v>
      </c>
    </row>
    <row r="41" spans="1:6" ht="14.45" customHeight="1">
      <c r="A41" s="35"/>
      <c r="B41" s="36"/>
      <c r="C41" s="33"/>
      <c r="D41" s="30" t="s">
        <v>100</v>
      </c>
      <c r="E41" s="3">
        <v>1</v>
      </c>
      <c r="F41" s="30" t="s">
        <v>13</v>
      </c>
    </row>
    <row r="42" spans="1:6" ht="14.45" customHeight="1">
      <c r="A42" s="35"/>
      <c r="B42" s="36"/>
      <c r="C42" s="33"/>
      <c r="D42" s="30" t="s">
        <v>101</v>
      </c>
      <c r="E42" s="3">
        <v>1</v>
      </c>
      <c r="F42" s="30" t="s">
        <v>13</v>
      </c>
    </row>
    <row r="43" spans="1:6" ht="14.45" customHeight="1">
      <c r="A43" s="35"/>
      <c r="B43" s="36"/>
      <c r="C43" s="33"/>
      <c r="D43" s="30" t="s">
        <v>14</v>
      </c>
      <c r="E43" s="3">
        <v>1</v>
      </c>
      <c r="F43" s="30" t="s">
        <v>13</v>
      </c>
    </row>
    <row r="44" spans="1:6" ht="14.45" customHeight="1">
      <c r="A44" s="35"/>
      <c r="B44" s="36"/>
      <c r="C44" s="33"/>
      <c r="D44" s="30" t="s">
        <v>15</v>
      </c>
      <c r="E44" s="3">
        <v>1</v>
      </c>
      <c r="F44" s="30" t="s">
        <v>13</v>
      </c>
    </row>
    <row r="45" spans="1:6" ht="14.45" customHeight="1">
      <c r="A45" s="35"/>
      <c r="B45" s="36"/>
      <c r="C45" s="34"/>
      <c r="D45" s="30" t="s">
        <v>16</v>
      </c>
      <c r="E45" s="3">
        <v>1</v>
      </c>
      <c r="F45" s="30" t="s">
        <v>13</v>
      </c>
    </row>
    <row r="46" spans="1:6" ht="15">
      <c r="A46" s="35" t="s">
        <v>102</v>
      </c>
      <c r="B46" s="36">
        <v>304</v>
      </c>
      <c r="C46" s="31" t="s">
        <v>103</v>
      </c>
      <c r="D46" s="30" t="s">
        <v>99</v>
      </c>
      <c r="E46" s="3">
        <v>300</v>
      </c>
      <c r="F46" s="30" t="s">
        <v>9</v>
      </c>
    </row>
    <row r="47" spans="1:6" ht="14.45" customHeight="1">
      <c r="A47" s="35"/>
      <c r="B47" s="36"/>
      <c r="C47" s="33"/>
      <c r="D47" s="30" t="s">
        <v>91</v>
      </c>
      <c r="E47" s="3">
        <v>125</v>
      </c>
      <c r="F47" s="30" t="s">
        <v>9</v>
      </c>
    </row>
    <row r="48" spans="1:6" ht="14.45" customHeight="1">
      <c r="A48" s="35"/>
      <c r="B48" s="36"/>
      <c r="C48" s="33"/>
      <c r="D48" s="30" t="s">
        <v>104</v>
      </c>
      <c r="E48" s="3">
        <v>200</v>
      </c>
      <c r="F48" s="30" t="s">
        <v>9</v>
      </c>
    </row>
    <row r="49" spans="1:6" ht="14.45" customHeight="1">
      <c r="A49" s="35"/>
      <c r="B49" s="36"/>
      <c r="C49" s="33"/>
      <c r="D49" s="30" t="s">
        <v>24</v>
      </c>
      <c r="E49" s="3">
        <v>1</v>
      </c>
      <c r="F49" s="30" t="s">
        <v>13</v>
      </c>
    </row>
    <row r="50" spans="1:6" ht="14.45" customHeight="1">
      <c r="A50" s="35"/>
      <c r="B50" s="36"/>
      <c r="C50" s="33"/>
      <c r="D50" s="30" t="s">
        <v>12</v>
      </c>
      <c r="E50" s="3">
        <v>4</v>
      </c>
      <c r="F50" s="30" t="s">
        <v>13</v>
      </c>
    </row>
    <row r="51" spans="1:6" ht="14.45" customHeight="1">
      <c r="A51" s="35"/>
      <c r="B51" s="36"/>
      <c r="C51" s="33"/>
      <c r="D51" s="30" t="s">
        <v>14</v>
      </c>
      <c r="E51" s="3">
        <v>1</v>
      </c>
      <c r="F51" s="30" t="s">
        <v>13</v>
      </c>
    </row>
    <row r="52" spans="1:6" ht="14.45" customHeight="1">
      <c r="A52" s="35"/>
      <c r="B52" s="36"/>
      <c r="C52" s="33"/>
      <c r="D52" s="30" t="s">
        <v>15</v>
      </c>
      <c r="E52" s="3">
        <v>1</v>
      </c>
      <c r="F52" s="30" t="s">
        <v>13</v>
      </c>
    </row>
    <row r="53" spans="1:6" ht="14.45" customHeight="1">
      <c r="A53" s="35"/>
      <c r="B53" s="36"/>
      <c r="C53" s="34"/>
      <c r="D53" s="30" t="s">
        <v>93</v>
      </c>
      <c r="E53" s="3">
        <v>0.5</v>
      </c>
      <c r="F53" s="30" t="s">
        <v>47</v>
      </c>
    </row>
    <row r="54" spans="1:6" ht="15">
      <c r="A54" s="35" t="s">
        <v>105</v>
      </c>
      <c r="B54" s="36">
        <v>306</v>
      </c>
      <c r="C54" s="31" t="s">
        <v>106</v>
      </c>
      <c r="D54" s="30" t="s">
        <v>19</v>
      </c>
      <c r="E54" s="3">
        <v>300</v>
      </c>
      <c r="F54" s="30" t="s">
        <v>9</v>
      </c>
    </row>
    <row r="55" spans="1:6" ht="14.45" customHeight="1">
      <c r="A55" s="35"/>
      <c r="B55" s="36"/>
      <c r="C55" s="33"/>
      <c r="D55" s="30" t="s">
        <v>73</v>
      </c>
      <c r="E55" s="3">
        <v>250</v>
      </c>
      <c r="F55" s="30" t="s">
        <v>9</v>
      </c>
    </row>
    <row r="56" spans="1:6" ht="14.45" customHeight="1">
      <c r="A56" s="35"/>
      <c r="B56" s="36"/>
      <c r="C56" s="33"/>
      <c r="D56" s="30" t="s">
        <v>12</v>
      </c>
      <c r="E56" s="3">
        <v>2</v>
      </c>
      <c r="F56" s="30" t="s">
        <v>13</v>
      </c>
    </row>
    <row r="57" spans="1:6" ht="14.45" customHeight="1">
      <c r="A57" s="35"/>
      <c r="B57" s="36"/>
      <c r="C57" s="33"/>
      <c r="D57" s="30" t="s">
        <v>24</v>
      </c>
      <c r="E57" s="3">
        <v>2</v>
      </c>
      <c r="F57" s="30" t="s">
        <v>13</v>
      </c>
    </row>
    <row r="58" spans="1:6" ht="14.45" customHeight="1">
      <c r="A58" s="35"/>
      <c r="B58" s="36"/>
      <c r="C58" s="33"/>
      <c r="D58" s="30" t="s">
        <v>14</v>
      </c>
      <c r="E58" s="3">
        <v>1</v>
      </c>
      <c r="F58" s="30" t="s">
        <v>13</v>
      </c>
    </row>
    <row r="59" spans="1:6" ht="14.45" customHeight="1">
      <c r="A59" s="35"/>
      <c r="B59" s="36"/>
      <c r="C59" s="33"/>
      <c r="D59" s="30" t="s">
        <v>15</v>
      </c>
      <c r="E59" s="3">
        <v>1</v>
      </c>
      <c r="F59" s="30" t="s">
        <v>13</v>
      </c>
    </row>
    <row r="60" spans="1:6" ht="14.45" customHeight="1">
      <c r="A60" s="35"/>
      <c r="B60" s="36"/>
      <c r="C60" s="33"/>
      <c r="D60" s="30" t="s">
        <v>51</v>
      </c>
      <c r="E60" s="3">
        <v>1</v>
      </c>
      <c r="F60" s="30" t="s">
        <v>13</v>
      </c>
    </row>
    <row r="61" spans="1:6" ht="14.45" customHeight="1">
      <c r="A61" s="35"/>
      <c r="B61" s="36"/>
      <c r="C61" s="34"/>
      <c r="D61" s="30" t="s">
        <v>16</v>
      </c>
      <c r="E61" s="3">
        <v>1</v>
      </c>
      <c r="F61" s="30" t="s">
        <v>13</v>
      </c>
    </row>
    <row r="62" spans="1:6" ht="15">
      <c r="A62" s="35" t="s">
        <v>107</v>
      </c>
      <c r="B62" s="36">
        <v>309</v>
      </c>
      <c r="C62" s="31" t="s">
        <v>108</v>
      </c>
      <c r="D62" s="30" t="s">
        <v>96</v>
      </c>
      <c r="E62" s="3">
        <v>400</v>
      </c>
      <c r="F62" s="30" t="s">
        <v>9</v>
      </c>
    </row>
    <row r="63" spans="1:6" ht="14.45" customHeight="1">
      <c r="A63" s="35"/>
      <c r="B63" s="36"/>
      <c r="C63" s="33"/>
      <c r="D63" s="30" t="s">
        <v>33</v>
      </c>
      <c r="E63" s="3">
        <v>3</v>
      </c>
      <c r="F63" s="30" t="s">
        <v>13</v>
      </c>
    </row>
    <row r="64" spans="1:6" ht="14.45" customHeight="1">
      <c r="A64" s="35"/>
      <c r="B64" s="36"/>
      <c r="C64" s="33"/>
      <c r="D64" s="30" t="s">
        <v>24</v>
      </c>
      <c r="E64" s="3">
        <v>1</v>
      </c>
      <c r="F64" s="30" t="s">
        <v>13</v>
      </c>
    </row>
    <row r="65" spans="1:6" ht="14.45" customHeight="1">
      <c r="A65" s="35"/>
      <c r="B65" s="36"/>
      <c r="C65" s="33"/>
      <c r="D65" s="30" t="s">
        <v>23</v>
      </c>
      <c r="E65" s="3">
        <v>1</v>
      </c>
      <c r="F65" s="30" t="s">
        <v>13</v>
      </c>
    </row>
    <row r="66" spans="1:6" ht="14.45" customHeight="1">
      <c r="A66" s="35"/>
      <c r="B66" s="36"/>
      <c r="C66" s="33"/>
      <c r="D66" s="30" t="s">
        <v>100</v>
      </c>
      <c r="E66" s="3">
        <v>1</v>
      </c>
      <c r="F66" s="30" t="s">
        <v>13</v>
      </c>
    </row>
    <row r="67" spans="1:6" ht="14.45" customHeight="1">
      <c r="A67" s="35"/>
      <c r="B67" s="36"/>
      <c r="C67" s="33"/>
      <c r="D67" s="30" t="s">
        <v>12</v>
      </c>
      <c r="E67" s="3">
        <v>1</v>
      </c>
      <c r="F67" s="30" t="s">
        <v>13</v>
      </c>
    </row>
    <row r="68" spans="1:6" ht="14.45" customHeight="1">
      <c r="A68" s="35"/>
      <c r="B68" s="36"/>
      <c r="C68" s="33"/>
      <c r="D68" s="30" t="s">
        <v>14</v>
      </c>
      <c r="E68" s="3">
        <v>1</v>
      </c>
      <c r="F68" s="30" t="s">
        <v>13</v>
      </c>
    </row>
    <row r="69" spans="1:6" ht="14.45" customHeight="1">
      <c r="A69" s="35"/>
      <c r="B69" s="36"/>
      <c r="C69" s="33"/>
      <c r="D69" s="30" t="s">
        <v>15</v>
      </c>
      <c r="E69" s="3">
        <v>1</v>
      </c>
      <c r="F69" s="30" t="s">
        <v>13</v>
      </c>
    </row>
    <row r="70" spans="1:6" ht="14.45" customHeight="1">
      <c r="A70" s="35"/>
      <c r="B70" s="36"/>
      <c r="C70" s="33"/>
      <c r="D70" s="30" t="s">
        <v>86</v>
      </c>
      <c r="E70" s="3">
        <v>1</v>
      </c>
      <c r="F70" s="30" t="s">
        <v>13</v>
      </c>
    </row>
    <row r="71" spans="1:6" ht="14.45" customHeight="1">
      <c r="A71" s="35"/>
      <c r="B71" s="36"/>
      <c r="C71" s="33"/>
      <c r="D71" s="30" t="s">
        <v>109</v>
      </c>
      <c r="E71" s="3">
        <v>1</v>
      </c>
      <c r="F71" s="30" t="s">
        <v>47</v>
      </c>
    </row>
    <row r="72" spans="1:6" ht="14.45" customHeight="1">
      <c r="A72" s="35"/>
      <c r="B72" s="36"/>
      <c r="C72" s="34"/>
      <c r="D72" s="30" t="s">
        <v>16</v>
      </c>
      <c r="E72" s="3">
        <v>1</v>
      </c>
      <c r="F72" s="30" t="s">
        <v>13</v>
      </c>
    </row>
    <row r="73" spans="1:6" ht="15">
      <c r="A73" s="35" t="s">
        <v>110</v>
      </c>
      <c r="B73" s="36">
        <v>318</v>
      </c>
      <c r="C73" s="31" t="s">
        <v>111</v>
      </c>
      <c r="D73" s="30" t="s">
        <v>19</v>
      </c>
      <c r="E73" s="3">
        <v>300</v>
      </c>
      <c r="F73" s="30" t="s">
        <v>9</v>
      </c>
    </row>
    <row r="74" spans="1:6" ht="14.45" customHeight="1">
      <c r="A74" s="35"/>
      <c r="B74" s="36"/>
      <c r="C74" s="33"/>
      <c r="D74" s="30" t="s">
        <v>112</v>
      </c>
      <c r="E74" s="3">
        <v>100</v>
      </c>
      <c r="F74" s="30" t="s">
        <v>9</v>
      </c>
    </row>
    <row r="75" spans="1:6" ht="14.45" customHeight="1">
      <c r="A75" s="35"/>
      <c r="B75" s="36"/>
      <c r="C75" s="33"/>
      <c r="D75" s="30" t="s">
        <v>113</v>
      </c>
      <c r="E75" s="3">
        <v>0.5</v>
      </c>
      <c r="F75" s="30" t="s">
        <v>13</v>
      </c>
    </row>
    <row r="76" spans="1:6" ht="14.45" customHeight="1">
      <c r="A76" s="35"/>
      <c r="B76" s="36"/>
      <c r="C76" s="33"/>
      <c r="D76" s="30" t="s">
        <v>12</v>
      </c>
      <c r="E76" s="3">
        <v>1</v>
      </c>
      <c r="F76" s="30" t="s">
        <v>13</v>
      </c>
    </row>
    <row r="77" spans="1:6" ht="14.45" customHeight="1">
      <c r="A77" s="35"/>
      <c r="B77" s="36"/>
      <c r="C77" s="33"/>
      <c r="D77" s="30" t="s">
        <v>14</v>
      </c>
      <c r="E77" s="3">
        <v>1</v>
      </c>
      <c r="F77" s="30" t="s">
        <v>13</v>
      </c>
    </row>
    <row r="78" spans="1:6" ht="14.45" customHeight="1">
      <c r="A78" s="35"/>
      <c r="B78" s="36"/>
      <c r="C78" s="33"/>
      <c r="D78" s="30" t="s">
        <v>15</v>
      </c>
      <c r="E78" s="3">
        <v>1</v>
      </c>
      <c r="F78" s="30" t="s">
        <v>13</v>
      </c>
    </row>
    <row r="79" spans="1:6" ht="14.45" customHeight="1">
      <c r="A79" s="35"/>
      <c r="B79" s="36"/>
      <c r="C79" s="33"/>
      <c r="D79" s="30" t="s">
        <v>39</v>
      </c>
      <c r="E79" s="3">
        <v>1</v>
      </c>
      <c r="F79" s="30" t="s">
        <v>13</v>
      </c>
    </row>
    <row r="80" spans="1:6" ht="14.45" customHeight="1">
      <c r="A80" s="35"/>
      <c r="B80" s="36"/>
      <c r="C80" s="33"/>
      <c r="D80" s="30" t="s">
        <v>57</v>
      </c>
      <c r="E80" s="3">
        <v>1</v>
      </c>
      <c r="F80" s="30" t="s">
        <v>13</v>
      </c>
    </row>
    <row r="81" spans="1:6" ht="14.45" customHeight="1">
      <c r="A81" s="35"/>
      <c r="B81" s="36"/>
      <c r="C81" s="33"/>
      <c r="D81" s="30" t="s">
        <v>51</v>
      </c>
      <c r="E81" s="3">
        <v>0.5</v>
      </c>
      <c r="F81" s="30" t="s">
        <v>13</v>
      </c>
    </row>
    <row r="82" spans="1:6" ht="14.45" customHeight="1">
      <c r="A82" s="35"/>
      <c r="B82" s="36"/>
      <c r="C82" s="33"/>
      <c r="D82" s="30" t="s">
        <v>114</v>
      </c>
      <c r="E82" s="3">
        <v>1</v>
      </c>
      <c r="F82" s="30" t="s">
        <v>13</v>
      </c>
    </row>
    <row r="83" spans="1:6" ht="14.45" customHeight="1">
      <c r="A83" s="35"/>
      <c r="B83" s="36"/>
      <c r="C83" s="33"/>
      <c r="D83" s="30" t="s">
        <v>12</v>
      </c>
      <c r="E83" s="3">
        <v>1</v>
      </c>
      <c r="F83" s="30" t="s">
        <v>13</v>
      </c>
    </row>
    <row r="84" spans="1:6" ht="14.45" customHeight="1">
      <c r="A84" s="35"/>
      <c r="B84" s="36"/>
      <c r="C84" s="33"/>
      <c r="D84" s="30" t="s">
        <v>115</v>
      </c>
      <c r="E84" s="3">
        <v>0.5</v>
      </c>
      <c r="F84" s="30" t="s">
        <v>13</v>
      </c>
    </row>
    <row r="85" spans="1:6" ht="14.45" customHeight="1">
      <c r="A85" s="35"/>
      <c r="B85" s="36"/>
      <c r="C85" s="33"/>
      <c r="D85" s="30" t="s">
        <v>116</v>
      </c>
      <c r="E85" s="3">
        <v>1</v>
      </c>
      <c r="F85" s="30" t="s">
        <v>13</v>
      </c>
    </row>
    <row r="86" spans="1:6" ht="14.45" customHeight="1">
      <c r="A86" s="35"/>
      <c r="B86" s="36"/>
      <c r="C86" s="33"/>
      <c r="D86" s="30" t="s">
        <v>15</v>
      </c>
      <c r="E86" s="3">
        <v>1</v>
      </c>
      <c r="F86" s="30" t="s">
        <v>13</v>
      </c>
    </row>
    <row r="87" spans="1:6" ht="14.45" customHeight="1">
      <c r="A87" s="35"/>
      <c r="B87" s="36"/>
      <c r="C87" s="33"/>
      <c r="D87" s="30" t="s">
        <v>40</v>
      </c>
      <c r="E87" s="3">
        <v>0.25</v>
      </c>
      <c r="F87" s="30" t="s">
        <v>47</v>
      </c>
    </row>
    <row r="88" spans="1:6" ht="14.45" customHeight="1">
      <c r="A88" s="35"/>
      <c r="B88" s="36"/>
      <c r="C88" s="34"/>
      <c r="D88" s="30" t="s">
        <v>16</v>
      </c>
      <c r="E88" s="3">
        <v>1</v>
      </c>
      <c r="F88" s="30" t="s">
        <v>13</v>
      </c>
    </row>
    <row r="89" spans="1:6" ht="15">
      <c r="A89" s="35" t="s">
        <v>117</v>
      </c>
      <c r="B89" s="36">
        <v>448</v>
      </c>
      <c r="C89" s="31" t="s">
        <v>118</v>
      </c>
      <c r="D89" s="30" t="s">
        <v>19</v>
      </c>
      <c r="E89" s="3">
        <v>250</v>
      </c>
      <c r="F89" s="30" t="s">
        <v>9</v>
      </c>
    </row>
    <row r="90" spans="1:6" ht="14.45" customHeight="1">
      <c r="A90" s="35"/>
      <c r="B90" s="36"/>
      <c r="C90" s="33"/>
      <c r="D90" s="30" t="s">
        <v>119</v>
      </c>
      <c r="E90" s="3">
        <v>300</v>
      </c>
      <c r="F90" s="30" t="s">
        <v>9</v>
      </c>
    </row>
    <row r="91" spans="1:6" ht="14.45" customHeight="1">
      <c r="A91" s="35"/>
      <c r="B91" s="36"/>
      <c r="C91" s="33"/>
      <c r="D91" s="30" t="s">
        <v>55</v>
      </c>
      <c r="E91" s="3">
        <v>200</v>
      </c>
      <c r="F91" s="30" t="s">
        <v>9</v>
      </c>
    </row>
    <row r="92" spans="1:6" ht="14.45" customHeight="1">
      <c r="A92" s="35"/>
      <c r="B92" s="36"/>
      <c r="C92" s="33"/>
      <c r="D92" s="30" t="s">
        <v>120</v>
      </c>
      <c r="E92" s="3">
        <v>1</v>
      </c>
      <c r="F92" s="30" t="s">
        <v>13</v>
      </c>
    </row>
    <row r="93" spans="1:6" ht="14.45" customHeight="1">
      <c r="A93" s="35"/>
      <c r="B93" s="36"/>
      <c r="C93" s="33"/>
      <c r="D93" s="30" t="s">
        <v>12</v>
      </c>
      <c r="E93" s="3">
        <v>4</v>
      </c>
      <c r="F93" s="30" t="s">
        <v>13</v>
      </c>
    </row>
    <row r="94" spans="1:6" ht="14.45" customHeight="1">
      <c r="A94" s="35"/>
      <c r="B94" s="36"/>
      <c r="C94" s="33"/>
      <c r="D94" s="30" t="s">
        <v>24</v>
      </c>
      <c r="E94" s="3">
        <v>2</v>
      </c>
      <c r="F94" s="30" t="s">
        <v>13</v>
      </c>
    </row>
    <row r="95" spans="1:6" ht="14.45" customHeight="1">
      <c r="A95" s="35"/>
      <c r="B95" s="36"/>
      <c r="C95" s="33"/>
      <c r="D95" s="30" t="s">
        <v>62</v>
      </c>
      <c r="E95" s="3">
        <v>75</v>
      </c>
      <c r="F95" s="30" t="s">
        <v>32</v>
      </c>
    </row>
    <row r="96" spans="1:6" ht="14.45" customHeight="1">
      <c r="A96" s="35"/>
      <c r="B96" s="36"/>
      <c r="C96" s="33"/>
      <c r="D96" s="30" t="s">
        <v>76</v>
      </c>
      <c r="E96" s="3">
        <v>100</v>
      </c>
      <c r="F96" s="30" t="s">
        <v>32</v>
      </c>
    </row>
    <row r="97" spans="1:6" ht="14.45" customHeight="1">
      <c r="A97" s="35"/>
      <c r="B97" s="36"/>
      <c r="C97" s="33"/>
      <c r="D97" s="30" t="s">
        <v>14</v>
      </c>
      <c r="E97" s="3">
        <v>1</v>
      </c>
      <c r="F97" s="30" t="s">
        <v>13</v>
      </c>
    </row>
    <row r="98" spans="1:6" ht="14.45" customHeight="1">
      <c r="A98" s="35"/>
      <c r="B98" s="36"/>
      <c r="C98" s="33"/>
      <c r="D98" s="30" t="s">
        <v>86</v>
      </c>
      <c r="E98" s="3">
        <v>1</v>
      </c>
      <c r="F98" s="30" t="s">
        <v>13</v>
      </c>
    </row>
    <row r="99" spans="1:6" ht="14.45" customHeight="1">
      <c r="A99" s="35"/>
      <c r="B99" s="36"/>
      <c r="C99" s="34"/>
      <c r="D99" s="30" t="s">
        <v>15</v>
      </c>
      <c r="E99" s="3">
        <v>1</v>
      </c>
      <c r="F99" s="30" t="s">
        <v>13</v>
      </c>
    </row>
    <row r="100" spans="1:6" ht="15">
      <c r="F100" s="11"/>
    </row>
    <row r="101" spans="1:6">
      <c r="F101" s="11"/>
    </row>
    <row r="102" spans="1:6">
      <c r="F102" s="11"/>
    </row>
  </sheetData>
  <mergeCells count="27">
    <mergeCell ref="C54:C61"/>
    <mergeCell ref="C62:C72"/>
    <mergeCell ref="C73:C88"/>
    <mergeCell ref="C89:C99"/>
    <mergeCell ref="C2:C9"/>
    <mergeCell ref="C10:C25"/>
    <mergeCell ref="C26:C35"/>
    <mergeCell ref="C36:C45"/>
    <mergeCell ref="C46:C53"/>
    <mergeCell ref="B62:B72"/>
    <mergeCell ref="B73:B88"/>
    <mergeCell ref="B89:B99"/>
    <mergeCell ref="B26:B35"/>
    <mergeCell ref="B2:B9"/>
    <mergeCell ref="B10:B25"/>
    <mergeCell ref="B36:B45"/>
    <mergeCell ref="B46:B53"/>
    <mergeCell ref="B54:B61"/>
    <mergeCell ref="A89:A99"/>
    <mergeCell ref="A62:A72"/>
    <mergeCell ref="A73:A88"/>
    <mergeCell ref="A2:A9"/>
    <mergeCell ref="A10:A25"/>
    <mergeCell ref="A26:A35"/>
    <mergeCell ref="A36:A45"/>
    <mergeCell ref="A46:A53"/>
    <mergeCell ref="A54:A6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60889F8-4642-466A-9F3B-765C52F8A662}">
          <x14:formula1>
            <xm:f>Otros!$B$3:$B$6</xm:f>
          </x14:formula1>
          <xm:sqref>F2:F99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1E0CA-D5E3-4A44-BE02-EA3F8BE5B234}">
  <dimension ref="A1:F45"/>
  <sheetViews>
    <sheetView tabSelected="1" workbookViewId="0">
      <pane ySplit="1" topLeftCell="C2" activePane="bottomLeft" state="frozen"/>
      <selection pane="bottomLeft" activeCell="C1" sqref="C1"/>
      <selection activeCell="B2" sqref="B2:B28"/>
    </sheetView>
  </sheetViews>
  <sheetFormatPr defaultColWidth="11.5703125" defaultRowHeight="14.45"/>
  <cols>
    <col min="1" max="1" width="28.7109375" style="6" bestFit="1" customWidth="1"/>
    <col min="2" max="3" width="10.28515625" style="7" customWidth="1"/>
    <col min="4" max="4" width="16.7109375" style="7" bestFit="1" customWidth="1"/>
    <col min="5" max="5" width="11.5703125" style="12"/>
    <col min="6" max="6" width="11.5703125" style="7"/>
    <col min="7" max="16384" width="11.5703125" style="9"/>
  </cols>
  <sheetData>
    <row r="1" spans="1:6" ht="15">
      <c r="A1" s="30" t="str">
        <f>Sopas!A1</f>
        <v>Plato</v>
      </c>
      <c r="B1" s="30" t="s">
        <v>1</v>
      </c>
      <c r="C1" s="30" t="s">
        <v>2</v>
      </c>
      <c r="D1" s="30" t="str">
        <f>Sopas!D1</f>
        <v>Ingredientes</v>
      </c>
      <c r="E1" s="5" t="str">
        <f>Sopas!E1</f>
        <v>Cantidades</v>
      </c>
      <c r="F1" s="30" t="str">
        <f>Sopas!F1</f>
        <v>Unidades</v>
      </c>
    </row>
    <row r="2" spans="1:6" ht="14.45" customHeight="1">
      <c r="A2" s="35" t="s">
        <v>121</v>
      </c>
      <c r="B2" s="36">
        <v>326</v>
      </c>
      <c r="C2" s="31" t="s">
        <v>122</v>
      </c>
      <c r="D2" s="30" t="s">
        <v>123</v>
      </c>
      <c r="E2" s="5">
        <v>8</v>
      </c>
      <c r="F2" s="30" t="s">
        <v>13</v>
      </c>
    </row>
    <row r="3" spans="1:6" ht="14.45" customHeight="1">
      <c r="A3" s="35"/>
      <c r="B3" s="36"/>
      <c r="C3" s="33"/>
      <c r="D3" s="30" t="s">
        <v>124</v>
      </c>
      <c r="E3" s="5">
        <v>600</v>
      </c>
      <c r="F3" s="30" t="s">
        <v>9</v>
      </c>
    </row>
    <row r="4" spans="1:6" ht="14.45" customHeight="1">
      <c r="A4" s="35"/>
      <c r="B4" s="36"/>
      <c r="C4" s="33"/>
      <c r="D4" s="30" t="s">
        <v>24</v>
      </c>
      <c r="E4" s="5">
        <v>0.5</v>
      </c>
      <c r="F4" s="30" t="s">
        <v>13</v>
      </c>
    </row>
    <row r="5" spans="1:6" ht="14.45" customHeight="1">
      <c r="A5" s="35"/>
      <c r="B5" s="36"/>
      <c r="C5" s="33"/>
      <c r="D5" s="30" t="s">
        <v>74</v>
      </c>
      <c r="E5" s="5">
        <v>2</v>
      </c>
      <c r="F5" s="30" t="s">
        <v>13</v>
      </c>
    </row>
    <row r="6" spans="1:6" ht="14.45" customHeight="1">
      <c r="A6" s="35"/>
      <c r="B6" s="36"/>
      <c r="C6" s="33"/>
      <c r="D6" s="30" t="s">
        <v>63</v>
      </c>
      <c r="E6" s="5">
        <v>1</v>
      </c>
      <c r="F6" s="30" t="s">
        <v>13</v>
      </c>
    </row>
    <row r="7" spans="1:6" ht="14.45" customHeight="1">
      <c r="A7" s="35"/>
      <c r="B7" s="36"/>
      <c r="C7" s="33"/>
      <c r="D7" s="30" t="s">
        <v>54</v>
      </c>
      <c r="E7" s="5">
        <v>1</v>
      </c>
      <c r="F7" s="30" t="s">
        <v>13</v>
      </c>
    </row>
    <row r="8" spans="1:6" ht="14.45" customHeight="1">
      <c r="A8" s="35"/>
      <c r="B8" s="36"/>
      <c r="C8" s="33"/>
      <c r="D8" s="30" t="s">
        <v>125</v>
      </c>
      <c r="E8" s="5">
        <v>2</v>
      </c>
      <c r="F8" s="30" t="s">
        <v>47</v>
      </c>
    </row>
    <row r="9" spans="1:6" ht="14.45" customHeight="1">
      <c r="A9" s="35"/>
      <c r="B9" s="36"/>
      <c r="C9" s="33"/>
      <c r="D9" s="30" t="s">
        <v>126</v>
      </c>
      <c r="E9" s="5">
        <v>15</v>
      </c>
      <c r="F9" s="30" t="s">
        <v>9</v>
      </c>
    </row>
    <row r="10" spans="1:6" ht="14.45" customHeight="1">
      <c r="A10" s="35"/>
      <c r="B10" s="36"/>
      <c r="C10" s="33"/>
      <c r="D10" s="30" t="s">
        <v>127</v>
      </c>
      <c r="E10" s="5">
        <v>1</v>
      </c>
      <c r="F10" s="30" t="s">
        <v>13</v>
      </c>
    </row>
    <row r="11" spans="1:6" ht="14.45" customHeight="1">
      <c r="A11" s="35"/>
      <c r="B11" s="36"/>
      <c r="C11" s="33"/>
      <c r="D11" s="30" t="s">
        <v>128</v>
      </c>
      <c r="E11" s="5">
        <v>1</v>
      </c>
      <c r="F11" s="30" t="s">
        <v>13</v>
      </c>
    </row>
    <row r="12" spans="1:6" ht="14.45" customHeight="1">
      <c r="A12" s="35"/>
      <c r="B12" s="36"/>
      <c r="C12" s="33"/>
      <c r="D12" s="30" t="s">
        <v>56</v>
      </c>
      <c r="E12" s="5">
        <v>1</v>
      </c>
      <c r="F12" s="30" t="s">
        <v>13</v>
      </c>
    </row>
    <row r="13" spans="1:6" ht="14.45" customHeight="1">
      <c r="A13" s="35"/>
      <c r="B13" s="36"/>
      <c r="C13" s="33"/>
      <c r="D13" s="30" t="s">
        <v>15</v>
      </c>
      <c r="E13" s="5">
        <v>1</v>
      </c>
      <c r="F13" s="30" t="s">
        <v>13</v>
      </c>
    </row>
    <row r="14" spans="1:6" ht="14.45" customHeight="1">
      <c r="A14" s="35"/>
      <c r="B14" s="36"/>
      <c r="C14" s="33"/>
      <c r="D14" s="30" t="s">
        <v>51</v>
      </c>
      <c r="E14" s="5">
        <v>1</v>
      </c>
      <c r="F14" s="30" t="s">
        <v>13</v>
      </c>
    </row>
    <row r="15" spans="1:6" ht="14.45" customHeight="1">
      <c r="A15" s="35"/>
      <c r="B15" s="36"/>
      <c r="C15" s="34"/>
      <c r="D15" s="30" t="s">
        <v>16</v>
      </c>
      <c r="E15" s="5">
        <v>1</v>
      </c>
      <c r="F15" s="30" t="s">
        <v>13</v>
      </c>
    </row>
    <row r="16" spans="1:6" ht="15">
      <c r="A16" s="35" t="s">
        <v>129</v>
      </c>
      <c r="B16" s="36">
        <v>329</v>
      </c>
      <c r="C16" s="31" t="s">
        <v>130</v>
      </c>
      <c r="D16" s="30" t="s">
        <v>74</v>
      </c>
      <c r="E16" s="5">
        <v>8</v>
      </c>
      <c r="F16" s="30" t="s">
        <v>13</v>
      </c>
    </row>
    <row r="17" spans="1:6" ht="14.45" customHeight="1">
      <c r="A17" s="35"/>
      <c r="B17" s="36"/>
      <c r="C17" s="33"/>
      <c r="D17" s="30" t="s">
        <v>131</v>
      </c>
      <c r="E17" s="5">
        <v>8</v>
      </c>
      <c r="F17" s="30" t="s">
        <v>13</v>
      </c>
    </row>
    <row r="18" spans="1:6" ht="14.45" customHeight="1">
      <c r="A18" s="35"/>
      <c r="B18" s="36"/>
      <c r="C18" s="33"/>
      <c r="D18" s="30" t="s">
        <v>12</v>
      </c>
      <c r="E18" s="5">
        <v>2</v>
      </c>
      <c r="F18" s="30" t="s">
        <v>13</v>
      </c>
    </row>
    <row r="19" spans="1:6" ht="14.45" customHeight="1">
      <c r="A19" s="35"/>
      <c r="B19" s="36"/>
      <c r="C19" s="33"/>
      <c r="D19" s="30" t="s">
        <v>24</v>
      </c>
      <c r="E19" s="5">
        <v>2</v>
      </c>
      <c r="F19" s="30" t="s">
        <v>13</v>
      </c>
    </row>
    <row r="20" spans="1:6" ht="14.45" customHeight="1">
      <c r="A20" s="35"/>
      <c r="B20" s="36"/>
      <c r="C20" s="33"/>
      <c r="D20" s="30" t="s">
        <v>34</v>
      </c>
      <c r="E20" s="5">
        <v>2</v>
      </c>
      <c r="F20" s="30" t="s">
        <v>13</v>
      </c>
    </row>
    <row r="21" spans="1:6" ht="14.45" customHeight="1">
      <c r="A21" s="35"/>
      <c r="B21" s="36"/>
      <c r="C21" s="33"/>
      <c r="D21" s="30" t="s">
        <v>132</v>
      </c>
      <c r="E21" s="5">
        <v>200</v>
      </c>
      <c r="F21" s="30" t="s">
        <v>9</v>
      </c>
    </row>
    <row r="22" spans="1:6" ht="14.45" customHeight="1">
      <c r="A22" s="35"/>
      <c r="B22" s="36"/>
      <c r="C22" s="33"/>
      <c r="D22" s="30" t="s">
        <v>14</v>
      </c>
      <c r="E22" s="5">
        <v>1</v>
      </c>
      <c r="F22" s="30" t="s">
        <v>13</v>
      </c>
    </row>
    <row r="23" spans="1:6" ht="14.45" customHeight="1">
      <c r="A23" s="35"/>
      <c r="B23" s="36"/>
      <c r="C23" s="33"/>
      <c r="D23" s="30" t="s">
        <v>15</v>
      </c>
      <c r="E23" s="5">
        <v>1</v>
      </c>
      <c r="F23" s="30" t="s">
        <v>13</v>
      </c>
    </row>
    <row r="24" spans="1:6" ht="14.45" customHeight="1">
      <c r="A24" s="35"/>
      <c r="B24" s="36"/>
      <c r="C24" s="34"/>
      <c r="D24" s="30" t="s">
        <v>16</v>
      </c>
      <c r="E24" s="5">
        <v>1</v>
      </c>
      <c r="F24" s="30" t="s">
        <v>13</v>
      </c>
    </row>
    <row r="25" spans="1:6" ht="15">
      <c r="A25" s="35" t="s">
        <v>133</v>
      </c>
      <c r="B25" s="36">
        <v>334</v>
      </c>
      <c r="C25" s="31" t="s">
        <v>134</v>
      </c>
      <c r="D25" s="30" t="s">
        <v>74</v>
      </c>
      <c r="E25" s="5">
        <v>8</v>
      </c>
      <c r="F25" s="30" t="s">
        <v>13</v>
      </c>
    </row>
    <row r="26" spans="1:6" ht="14.45" customHeight="1">
      <c r="A26" s="35"/>
      <c r="B26" s="36"/>
      <c r="C26" s="33"/>
      <c r="D26" s="30" t="s">
        <v>135</v>
      </c>
      <c r="E26" s="5">
        <v>250</v>
      </c>
      <c r="F26" s="30" t="s">
        <v>9</v>
      </c>
    </row>
    <row r="27" spans="1:6" ht="14.45" customHeight="1">
      <c r="A27" s="35"/>
      <c r="B27" s="36"/>
      <c r="C27" s="33"/>
      <c r="D27" s="30" t="s">
        <v>136</v>
      </c>
      <c r="E27" s="5">
        <v>8</v>
      </c>
      <c r="F27" s="30" t="s">
        <v>13</v>
      </c>
    </row>
    <row r="28" spans="1:6" ht="14.45" customHeight="1">
      <c r="A28" s="35"/>
      <c r="B28" s="36"/>
      <c r="C28" s="33"/>
      <c r="D28" s="30" t="s">
        <v>12</v>
      </c>
      <c r="E28" s="5">
        <v>1</v>
      </c>
      <c r="F28" s="30" t="s">
        <v>13</v>
      </c>
    </row>
    <row r="29" spans="1:6" ht="14.45" customHeight="1">
      <c r="A29" s="35"/>
      <c r="B29" s="36"/>
      <c r="C29" s="33"/>
      <c r="D29" s="30" t="s">
        <v>24</v>
      </c>
      <c r="E29" s="5">
        <v>1</v>
      </c>
      <c r="F29" s="30" t="s">
        <v>13</v>
      </c>
    </row>
    <row r="30" spans="1:6" ht="14.45" customHeight="1">
      <c r="A30" s="35"/>
      <c r="B30" s="36"/>
      <c r="C30" s="33"/>
      <c r="D30" s="30" t="s">
        <v>34</v>
      </c>
      <c r="E30" s="5">
        <v>4</v>
      </c>
      <c r="F30" s="30" t="s">
        <v>13</v>
      </c>
    </row>
    <row r="31" spans="1:6" ht="14.45" customHeight="1">
      <c r="A31" s="35"/>
      <c r="B31" s="36"/>
      <c r="C31" s="33"/>
      <c r="D31" s="30" t="s">
        <v>14</v>
      </c>
      <c r="E31" s="5">
        <v>1</v>
      </c>
      <c r="F31" s="30" t="s">
        <v>13</v>
      </c>
    </row>
    <row r="32" spans="1:6" ht="14.45" customHeight="1">
      <c r="A32" s="35"/>
      <c r="B32" s="36"/>
      <c r="C32" s="33"/>
      <c r="D32" s="30" t="s">
        <v>15</v>
      </c>
      <c r="E32" s="5">
        <v>1</v>
      </c>
      <c r="F32" s="30" t="s">
        <v>13</v>
      </c>
    </row>
    <row r="33" spans="1:6" ht="14.45" customHeight="1">
      <c r="A33" s="35"/>
      <c r="B33" s="36"/>
      <c r="C33" s="34"/>
      <c r="D33" s="30" t="s">
        <v>16</v>
      </c>
      <c r="E33" s="5">
        <v>1</v>
      </c>
      <c r="F33" s="30" t="s">
        <v>13</v>
      </c>
    </row>
    <row r="34" spans="1:6" ht="15">
      <c r="A34" s="35" t="s">
        <v>137</v>
      </c>
      <c r="B34" s="36">
        <v>340</v>
      </c>
      <c r="C34" s="31" t="s">
        <v>138</v>
      </c>
      <c r="D34" s="30" t="s">
        <v>74</v>
      </c>
      <c r="E34" s="5">
        <v>8</v>
      </c>
      <c r="F34" s="30" t="s">
        <v>13</v>
      </c>
    </row>
    <row r="35" spans="1:6" ht="14.45" customHeight="1">
      <c r="A35" s="35"/>
      <c r="B35" s="36"/>
      <c r="C35" s="33"/>
      <c r="D35" s="30" t="s">
        <v>139</v>
      </c>
      <c r="E35" s="5">
        <v>100</v>
      </c>
      <c r="F35" s="30" t="s">
        <v>9</v>
      </c>
    </row>
    <row r="36" spans="1:6" ht="14.45" customHeight="1">
      <c r="A36" s="35"/>
      <c r="B36" s="36"/>
      <c r="C36" s="33"/>
      <c r="D36" s="30" t="s">
        <v>12</v>
      </c>
      <c r="E36" s="5">
        <v>2</v>
      </c>
      <c r="F36" s="30" t="s">
        <v>13</v>
      </c>
    </row>
    <row r="37" spans="1:6" ht="14.45" customHeight="1">
      <c r="A37" s="35"/>
      <c r="B37" s="36"/>
      <c r="C37" s="33"/>
      <c r="D37" s="30" t="s">
        <v>55</v>
      </c>
      <c r="E37" s="5">
        <v>100</v>
      </c>
      <c r="F37" s="30" t="s">
        <v>9</v>
      </c>
    </row>
    <row r="38" spans="1:6" ht="14.45" customHeight="1">
      <c r="A38" s="35"/>
      <c r="B38" s="36"/>
      <c r="C38" s="33"/>
      <c r="D38" s="30" t="s">
        <v>61</v>
      </c>
      <c r="E38" s="5">
        <v>1</v>
      </c>
      <c r="F38" s="30" t="s">
        <v>47</v>
      </c>
    </row>
    <row r="39" spans="1:6" ht="14.45" customHeight="1">
      <c r="A39" s="35"/>
      <c r="B39" s="36"/>
      <c r="C39" s="33"/>
      <c r="D39" s="30" t="s">
        <v>140</v>
      </c>
      <c r="E39" s="5">
        <v>300</v>
      </c>
      <c r="F39" s="30" t="s">
        <v>32</v>
      </c>
    </row>
    <row r="40" spans="1:6" ht="14.45" customHeight="1">
      <c r="A40" s="35"/>
      <c r="B40" s="36"/>
      <c r="C40" s="33"/>
      <c r="D40" s="30" t="s">
        <v>131</v>
      </c>
      <c r="E40" s="5">
        <v>4</v>
      </c>
      <c r="F40" s="30" t="s">
        <v>13</v>
      </c>
    </row>
    <row r="41" spans="1:6" ht="14.45" customHeight="1">
      <c r="A41" s="35"/>
      <c r="B41" s="36"/>
      <c r="C41" s="33"/>
      <c r="D41" s="30" t="s">
        <v>14</v>
      </c>
      <c r="E41" s="5">
        <v>1</v>
      </c>
      <c r="F41" s="30" t="s">
        <v>13</v>
      </c>
    </row>
    <row r="42" spans="1:6" ht="14.45" customHeight="1">
      <c r="A42" s="35"/>
      <c r="B42" s="36"/>
      <c r="C42" s="33"/>
      <c r="D42" s="30" t="s">
        <v>15</v>
      </c>
      <c r="E42" s="5">
        <v>1</v>
      </c>
      <c r="F42" s="30" t="s">
        <v>13</v>
      </c>
    </row>
    <row r="43" spans="1:6" ht="14.45" customHeight="1">
      <c r="A43" s="35"/>
      <c r="B43" s="36"/>
      <c r="C43" s="33"/>
      <c r="D43" s="30" t="s">
        <v>93</v>
      </c>
      <c r="E43" s="5">
        <v>0.5</v>
      </c>
      <c r="F43" s="30" t="s">
        <v>47</v>
      </c>
    </row>
    <row r="44" spans="1:6" ht="14.45" customHeight="1">
      <c r="A44" s="35"/>
      <c r="B44" s="36"/>
      <c r="C44" s="34"/>
      <c r="D44" s="30" t="s">
        <v>16</v>
      </c>
      <c r="E44" s="5">
        <v>1</v>
      </c>
      <c r="F44" s="30" t="s">
        <v>13</v>
      </c>
    </row>
    <row r="45" spans="1:6" ht="15"/>
  </sheetData>
  <mergeCells count="12">
    <mergeCell ref="C2:C15"/>
    <mergeCell ref="C16:C24"/>
    <mergeCell ref="C25:C33"/>
    <mergeCell ref="C34:C44"/>
    <mergeCell ref="A2:A15"/>
    <mergeCell ref="A16:A24"/>
    <mergeCell ref="A25:A33"/>
    <mergeCell ref="A34:A44"/>
    <mergeCell ref="B34:B44"/>
    <mergeCell ref="B25:B33"/>
    <mergeCell ref="B16:B24"/>
    <mergeCell ref="B2:B15"/>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732FEB0-1A61-4051-8D12-CBDB9CF7A046}">
          <x14:formula1>
            <xm:f>Otros!$B$3:$B$6</xm:f>
          </x14:formula1>
          <xm:sqref>F2:F44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D66F9-B2F8-4886-858F-417F35DC92F7}">
  <dimension ref="A1:F133"/>
  <sheetViews>
    <sheetView workbookViewId="0">
      <pane ySplit="1" topLeftCell="A2" activePane="bottomLeft" state="frozen"/>
      <selection pane="bottomLeft" activeCell="C1" sqref="C1"/>
      <selection activeCell="B2" sqref="B2:B28"/>
    </sheetView>
  </sheetViews>
  <sheetFormatPr defaultColWidth="11.5703125" defaultRowHeight="14.45"/>
  <cols>
    <col min="1" max="1" width="39.28515625" style="6" bestFit="1" customWidth="1"/>
    <col min="2" max="3" width="10.28515625" style="7" customWidth="1"/>
    <col min="4" max="4" width="20.7109375" style="7" bestFit="1" customWidth="1"/>
    <col min="5" max="5" width="11.5703125" style="8"/>
    <col min="6" max="6" width="11.5703125" style="7"/>
    <col min="7" max="16384" width="11.5703125" style="9"/>
  </cols>
  <sheetData>
    <row r="1" spans="1:6" ht="15">
      <c r="A1" s="30" t="str">
        <f>Sopas!A1</f>
        <v>Plato</v>
      </c>
      <c r="B1" s="30" t="s">
        <v>1</v>
      </c>
      <c r="C1" s="30" t="s">
        <v>2</v>
      </c>
      <c r="D1" s="30" t="str">
        <f>Sopas!D1</f>
        <v>Ingredientes</v>
      </c>
      <c r="E1" s="3" t="str">
        <f>Sopas!E1</f>
        <v>Cantidades</v>
      </c>
      <c r="F1" s="30" t="str">
        <f>Sopas!F1</f>
        <v>Unidades</v>
      </c>
    </row>
    <row r="2" spans="1:6" ht="14.45" customHeight="1">
      <c r="A2" s="35" t="s">
        <v>141</v>
      </c>
      <c r="B2" s="36">
        <v>346</v>
      </c>
      <c r="C2" s="31" t="s">
        <v>142</v>
      </c>
      <c r="D2" s="30" t="s">
        <v>46</v>
      </c>
      <c r="E2" s="5">
        <v>300</v>
      </c>
      <c r="F2" s="30" t="s">
        <v>9</v>
      </c>
    </row>
    <row r="3" spans="1:6" ht="14.45" customHeight="1">
      <c r="A3" s="35"/>
      <c r="B3" s="36"/>
      <c r="C3" s="33"/>
      <c r="D3" s="30" t="s">
        <v>100</v>
      </c>
      <c r="E3" s="3">
        <v>3</v>
      </c>
      <c r="F3" s="30" t="s">
        <v>13</v>
      </c>
    </row>
    <row r="4" spans="1:6" ht="14.45" customHeight="1">
      <c r="A4" s="35"/>
      <c r="B4" s="36"/>
      <c r="C4" s="33"/>
      <c r="D4" s="30" t="s">
        <v>143</v>
      </c>
      <c r="E4" s="3">
        <v>1</v>
      </c>
      <c r="F4" s="30" t="s">
        <v>13</v>
      </c>
    </row>
    <row r="5" spans="1:6" ht="14.45" customHeight="1">
      <c r="A5" s="35"/>
      <c r="B5" s="36"/>
      <c r="C5" s="33"/>
      <c r="D5" s="30" t="s">
        <v>60</v>
      </c>
      <c r="E5" s="3">
        <v>2</v>
      </c>
      <c r="F5" s="30" t="s">
        <v>13</v>
      </c>
    </row>
    <row r="6" spans="1:6" ht="14.45" customHeight="1">
      <c r="A6" s="35"/>
      <c r="B6" s="36"/>
      <c r="C6" s="33"/>
      <c r="D6" s="30" t="s">
        <v>19</v>
      </c>
      <c r="E6" s="3">
        <v>150</v>
      </c>
      <c r="F6" s="30" t="s">
        <v>9</v>
      </c>
    </row>
    <row r="7" spans="1:6" ht="14.45" customHeight="1">
      <c r="A7" s="35"/>
      <c r="B7" s="36"/>
      <c r="C7" s="33"/>
      <c r="D7" s="30" t="s">
        <v>45</v>
      </c>
      <c r="E7" s="3">
        <v>900</v>
      </c>
      <c r="F7" s="30" t="s">
        <v>32</v>
      </c>
    </row>
    <row r="8" spans="1:6" ht="14.45" customHeight="1">
      <c r="A8" s="35"/>
      <c r="B8" s="36"/>
      <c r="C8" s="33"/>
      <c r="D8" s="30" t="s">
        <v>14</v>
      </c>
      <c r="E8" s="3">
        <v>1</v>
      </c>
      <c r="F8" s="30" t="s">
        <v>13</v>
      </c>
    </row>
    <row r="9" spans="1:6" ht="14.45" customHeight="1">
      <c r="A9" s="35"/>
      <c r="B9" s="36"/>
      <c r="C9" s="33"/>
      <c r="D9" s="30" t="s">
        <v>15</v>
      </c>
      <c r="E9" s="3">
        <v>1</v>
      </c>
      <c r="F9" s="30" t="s">
        <v>13</v>
      </c>
    </row>
    <row r="10" spans="1:6" ht="14.45" customHeight="1">
      <c r="A10" s="35"/>
      <c r="B10" s="36"/>
      <c r="C10" s="33"/>
      <c r="D10" s="30" t="s">
        <v>144</v>
      </c>
      <c r="E10" s="3">
        <v>1</v>
      </c>
      <c r="F10" s="30" t="s">
        <v>13</v>
      </c>
    </row>
    <row r="11" spans="1:6" ht="14.45" customHeight="1">
      <c r="A11" s="35"/>
      <c r="B11" s="36"/>
      <c r="C11" s="33"/>
      <c r="D11" s="30" t="s">
        <v>93</v>
      </c>
      <c r="E11" s="3">
        <v>1</v>
      </c>
      <c r="F11" s="30" t="s">
        <v>47</v>
      </c>
    </row>
    <row r="12" spans="1:6" ht="14.45" customHeight="1">
      <c r="A12" s="35"/>
      <c r="B12" s="36"/>
      <c r="C12" s="34"/>
      <c r="D12" s="30" t="s">
        <v>16</v>
      </c>
      <c r="E12" s="3">
        <v>1</v>
      </c>
      <c r="F12" s="30" t="s">
        <v>13</v>
      </c>
    </row>
    <row r="13" spans="1:6" ht="15">
      <c r="A13" s="35" t="s">
        <v>145</v>
      </c>
      <c r="B13" s="36">
        <v>352</v>
      </c>
      <c r="C13" s="31" t="s">
        <v>146</v>
      </c>
      <c r="D13" s="30" t="s">
        <v>46</v>
      </c>
      <c r="E13" s="3">
        <v>300</v>
      </c>
      <c r="F13" s="30" t="s">
        <v>9</v>
      </c>
    </row>
    <row r="14" spans="1:6" ht="14.45" customHeight="1">
      <c r="A14" s="35"/>
      <c r="B14" s="36"/>
      <c r="C14" s="33"/>
      <c r="D14" s="30" t="s">
        <v>147</v>
      </c>
      <c r="E14" s="3">
        <v>600</v>
      </c>
      <c r="F14" s="30" t="s">
        <v>9</v>
      </c>
    </row>
    <row r="15" spans="1:6" ht="14.45" customHeight="1">
      <c r="A15" s="35"/>
      <c r="B15" s="36"/>
      <c r="C15" s="33"/>
      <c r="D15" s="30" t="s">
        <v>23</v>
      </c>
      <c r="E15" s="3">
        <v>1</v>
      </c>
      <c r="F15" s="30" t="s">
        <v>13</v>
      </c>
    </row>
    <row r="16" spans="1:6" ht="14.45" customHeight="1">
      <c r="A16" s="35"/>
      <c r="B16" s="36"/>
      <c r="C16" s="33"/>
      <c r="D16" s="30" t="s">
        <v>24</v>
      </c>
      <c r="E16" s="3">
        <v>1</v>
      </c>
      <c r="F16" s="30" t="s">
        <v>13</v>
      </c>
    </row>
    <row r="17" spans="1:6" ht="14.45" customHeight="1">
      <c r="A17" s="35"/>
      <c r="B17" s="36"/>
      <c r="C17" s="33"/>
      <c r="D17" s="30" t="s">
        <v>35</v>
      </c>
      <c r="E17" s="3">
        <v>0.5</v>
      </c>
      <c r="F17" s="30" t="s">
        <v>13</v>
      </c>
    </row>
    <row r="18" spans="1:6" ht="14.45" customHeight="1">
      <c r="A18" s="35"/>
      <c r="B18" s="36"/>
      <c r="C18" s="33"/>
      <c r="D18" s="30" t="s">
        <v>12</v>
      </c>
      <c r="E18" s="3">
        <v>2</v>
      </c>
      <c r="F18" s="30" t="s">
        <v>13</v>
      </c>
    </row>
    <row r="19" spans="1:6" ht="14.45" customHeight="1">
      <c r="A19" s="35"/>
      <c r="B19" s="36"/>
      <c r="C19" s="33"/>
      <c r="D19" s="30" t="s">
        <v>14</v>
      </c>
      <c r="E19" s="3">
        <v>1</v>
      </c>
      <c r="F19" s="30" t="s">
        <v>13</v>
      </c>
    </row>
    <row r="20" spans="1:6" ht="14.45" customHeight="1">
      <c r="A20" s="35"/>
      <c r="B20" s="36"/>
      <c r="C20" s="33"/>
      <c r="D20" s="30" t="s">
        <v>15</v>
      </c>
      <c r="E20" s="3">
        <v>1</v>
      </c>
      <c r="F20" s="30" t="s">
        <v>13</v>
      </c>
    </row>
    <row r="21" spans="1:6" ht="14.45" customHeight="1">
      <c r="A21" s="35"/>
      <c r="B21" s="36"/>
      <c r="C21" s="33"/>
      <c r="D21" s="30" t="s">
        <v>51</v>
      </c>
      <c r="E21" s="3">
        <v>1</v>
      </c>
      <c r="F21" s="30" t="s">
        <v>13</v>
      </c>
    </row>
    <row r="22" spans="1:6" ht="14.45" customHeight="1">
      <c r="A22" s="35"/>
      <c r="B22" s="36"/>
      <c r="C22" s="33"/>
      <c r="D22" s="30" t="s">
        <v>93</v>
      </c>
      <c r="E22" s="3">
        <v>1</v>
      </c>
      <c r="F22" s="30" t="s">
        <v>47</v>
      </c>
    </row>
    <row r="23" spans="1:6" ht="14.45" customHeight="1">
      <c r="A23" s="35"/>
      <c r="B23" s="36"/>
      <c r="C23" s="34"/>
      <c r="D23" s="30" t="s">
        <v>16</v>
      </c>
      <c r="E23" s="3">
        <v>1</v>
      </c>
      <c r="F23" s="30" t="s">
        <v>13</v>
      </c>
    </row>
    <row r="24" spans="1:6" ht="15">
      <c r="A24" s="35" t="s">
        <v>148</v>
      </c>
      <c r="B24" s="36">
        <v>352</v>
      </c>
      <c r="C24" s="31" t="s">
        <v>149</v>
      </c>
      <c r="D24" s="30" t="s">
        <v>46</v>
      </c>
      <c r="E24" s="3">
        <v>200</v>
      </c>
      <c r="F24" s="30" t="s">
        <v>9</v>
      </c>
    </row>
    <row r="25" spans="1:6" ht="14.45" customHeight="1">
      <c r="A25" s="35"/>
      <c r="B25" s="36"/>
      <c r="C25" s="33"/>
      <c r="D25" s="30" t="s">
        <v>33</v>
      </c>
      <c r="E25" s="3">
        <v>6</v>
      </c>
      <c r="F25" s="30" t="s">
        <v>13</v>
      </c>
    </row>
    <row r="26" spans="1:6" ht="14.45" customHeight="1">
      <c r="A26" s="35"/>
      <c r="B26" s="36"/>
      <c r="C26" s="33"/>
      <c r="D26" s="30" t="s">
        <v>73</v>
      </c>
      <c r="E26" s="3">
        <v>150</v>
      </c>
      <c r="F26" s="30" t="s">
        <v>9</v>
      </c>
    </row>
    <row r="27" spans="1:6" ht="14.45" customHeight="1">
      <c r="A27" s="35"/>
      <c r="B27" s="36"/>
      <c r="C27" s="33"/>
      <c r="D27" s="30" t="s">
        <v>24</v>
      </c>
      <c r="E27" s="3">
        <v>1</v>
      </c>
      <c r="F27" s="30" t="s">
        <v>13</v>
      </c>
    </row>
    <row r="28" spans="1:6" ht="14.45" customHeight="1">
      <c r="A28" s="35"/>
      <c r="B28" s="36"/>
      <c r="C28" s="33"/>
      <c r="D28" s="30" t="s">
        <v>12</v>
      </c>
      <c r="E28" s="3">
        <v>2</v>
      </c>
      <c r="F28" s="30" t="s">
        <v>13</v>
      </c>
    </row>
    <row r="29" spans="1:6" ht="14.45" customHeight="1">
      <c r="A29" s="35"/>
      <c r="B29" s="36"/>
      <c r="C29" s="33"/>
      <c r="D29" s="30" t="s">
        <v>74</v>
      </c>
      <c r="E29" s="3">
        <v>2</v>
      </c>
      <c r="F29" s="30" t="s">
        <v>13</v>
      </c>
    </row>
    <row r="30" spans="1:6" ht="14.45" customHeight="1">
      <c r="A30" s="35"/>
      <c r="B30" s="36"/>
      <c r="C30" s="33"/>
      <c r="D30" s="30" t="s">
        <v>69</v>
      </c>
      <c r="E30" s="3">
        <v>125</v>
      </c>
      <c r="F30" s="30" t="s">
        <v>32</v>
      </c>
    </row>
    <row r="31" spans="1:6" ht="14.45" customHeight="1">
      <c r="A31" s="35"/>
      <c r="B31" s="36"/>
      <c r="C31" s="33"/>
      <c r="D31" s="30" t="s">
        <v>14</v>
      </c>
      <c r="E31" s="3">
        <v>1</v>
      </c>
      <c r="F31" s="30" t="s">
        <v>13</v>
      </c>
    </row>
    <row r="32" spans="1:6" ht="14.45" customHeight="1">
      <c r="A32" s="35"/>
      <c r="B32" s="36"/>
      <c r="C32" s="33"/>
      <c r="D32" s="30" t="s">
        <v>15</v>
      </c>
      <c r="E32" s="3">
        <v>1</v>
      </c>
      <c r="F32" s="30" t="s">
        <v>13</v>
      </c>
    </row>
    <row r="33" spans="1:6" ht="14.45" customHeight="1">
      <c r="A33" s="35"/>
      <c r="B33" s="36"/>
      <c r="C33" s="34"/>
      <c r="D33" s="30" t="s">
        <v>16</v>
      </c>
      <c r="E33" s="3">
        <v>1</v>
      </c>
      <c r="F33" s="30" t="s">
        <v>13</v>
      </c>
    </row>
    <row r="34" spans="1:6" ht="15">
      <c r="A34" s="35" t="s">
        <v>150</v>
      </c>
      <c r="B34" s="36">
        <v>353</v>
      </c>
      <c r="C34" s="31" t="s">
        <v>151</v>
      </c>
      <c r="D34" s="30" t="s">
        <v>46</v>
      </c>
      <c r="E34" s="3">
        <v>300</v>
      </c>
      <c r="F34" s="30" t="s">
        <v>9</v>
      </c>
    </row>
    <row r="35" spans="1:6" ht="14.45" customHeight="1">
      <c r="A35" s="35"/>
      <c r="B35" s="36"/>
      <c r="C35" s="33"/>
      <c r="D35" s="30" t="s">
        <v>30</v>
      </c>
      <c r="E35" s="3">
        <v>100</v>
      </c>
      <c r="F35" s="30" t="s">
        <v>9</v>
      </c>
    </row>
    <row r="36" spans="1:6" ht="14.45" customHeight="1">
      <c r="A36" s="35"/>
      <c r="B36" s="36"/>
      <c r="C36" s="33"/>
      <c r="D36" s="30" t="s">
        <v>152</v>
      </c>
      <c r="E36" s="3">
        <v>20</v>
      </c>
      <c r="F36" s="30" t="s">
        <v>9</v>
      </c>
    </row>
    <row r="37" spans="1:6" ht="14.45" customHeight="1">
      <c r="A37" s="35"/>
      <c r="B37" s="36"/>
      <c r="C37" s="33"/>
      <c r="D37" s="30" t="s">
        <v>12</v>
      </c>
      <c r="E37" s="3">
        <v>1</v>
      </c>
      <c r="F37" s="30" t="s">
        <v>13</v>
      </c>
    </row>
    <row r="38" spans="1:6" ht="14.45" customHeight="1">
      <c r="A38" s="35"/>
      <c r="B38" s="36"/>
      <c r="C38" s="33"/>
      <c r="D38" s="30" t="s">
        <v>37</v>
      </c>
      <c r="E38" s="3">
        <v>1</v>
      </c>
      <c r="F38" s="30" t="s">
        <v>13</v>
      </c>
    </row>
    <row r="39" spans="1:6" ht="14.45" customHeight="1">
      <c r="A39" s="35"/>
      <c r="B39" s="36"/>
      <c r="C39" s="33"/>
      <c r="D39" s="30" t="s">
        <v>74</v>
      </c>
      <c r="E39" s="3">
        <v>1</v>
      </c>
      <c r="F39" s="30" t="s">
        <v>13</v>
      </c>
    </row>
    <row r="40" spans="1:6" ht="14.45" customHeight="1">
      <c r="A40" s="35"/>
      <c r="B40" s="36"/>
      <c r="C40" s="33"/>
      <c r="D40" s="30" t="s">
        <v>127</v>
      </c>
      <c r="E40" s="3">
        <v>1</v>
      </c>
      <c r="F40" s="30" t="s">
        <v>13</v>
      </c>
    </row>
    <row r="41" spans="1:6" ht="14.45" customHeight="1">
      <c r="A41" s="35"/>
      <c r="B41" s="36"/>
      <c r="C41" s="33"/>
      <c r="D41" s="30" t="s">
        <v>76</v>
      </c>
      <c r="E41" s="3">
        <v>300</v>
      </c>
      <c r="F41" s="30" t="s">
        <v>32</v>
      </c>
    </row>
    <row r="42" spans="1:6" ht="14.45" customHeight="1">
      <c r="A42" s="35"/>
      <c r="B42" s="36"/>
      <c r="C42" s="33"/>
      <c r="D42" s="30" t="s">
        <v>14</v>
      </c>
      <c r="E42" s="3">
        <v>1</v>
      </c>
      <c r="F42" s="30" t="s">
        <v>13</v>
      </c>
    </row>
    <row r="43" spans="1:6" ht="14.45" customHeight="1">
      <c r="A43" s="35"/>
      <c r="B43" s="36"/>
      <c r="C43" s="33"/>
      <c r="D43" s="30" t="s">
        <v>15</v>
      </c>
      <c r="E43" s="3">
        <v>1</v>
      </c>
      <c r="F43" s="30" t="s">
        <v>13</v>
      </c>
    </row>
    <row r="44" spans="1:6" ht="14.45" customHeight="1">
      <c r="A44" s="35"/>
      <c r="B44" s="36"/>
      <c r="C44" s="34"/>
      <c r="D44" s="30" t="s">
        <v>16</v>
      </c>
      <c r="E44" s="3">
        <v>1</v>
      </c>
      <c r="F44" s="30" t="s">
        <v>13</v>
      </c>
    </row>
    <row r="45" spans="1:6" ht="15">
      <c r="A45" s="35" t="s">
        <v>153</v>
      </c>
      <c r="B45" s="36">
        <v>354</v>
      </c>
      <c r="C45" s="31" t="s">
        <v>154</v>
      </c>
      <c r="D45" s="30" t="s">
        <v>46</v>
      </c>
      <c r="E45" s="3">
        <v>300</v>
      </c>
      <c r="F45" s="30" t="s">
        <v>9</v>
      </c>
    </row>
    <row r="46" spans="1:6" ht="14.45" customHeight="1">
      <c r="A46" s="35"/>
      <c r="B46" s="36"/>
      <c r="C46" s="33"/>
      <c r="D46" s="30" t="s">
        <v>155</v>
      </c>
      <c r="E46" s="3">
        <v>6</v>
      </c>
      <c r="F46" s="30" t="s">
        <v>13</v>
      </c>
    </row>
    <row r="47" spans="1:6" ht="14.45" customHeight="1">
      <c r="A47" s="35"/>
      <c r="B47" s="36"/>
      <c r="C47" s="33"/>
      <c r="D47" s="30" t="s">
        <v>73</v>
      </c>
      <c r="E47" s="3">
        <v>100</v>
      </c>
      <c r="F47" s="30" t="s">
        <v>9</v>
      </c>
    </row>
    <row r="48" spans="1:6" ht="14.45" customHeight="1">
      <c r="A48" s="35"/>
      <c r="B48" s="36"/>
      <c r="C48" s="33"/>
      <c r="D48" s="30" t="s">
        <v>72</v>
      </c>
      <c r="E48" s="3">
        <v>125</v>
      </c>
      <c r="F48" s="30" t="s">
        <v>9</v>
      </c>
    </row>
    <row r="49" spans="1:6" ht="14.45" customHeight="1">
      <c r="A49" s="35"/>
      <c r="B49" s="36"/>
      <c r="C49" s="33"/>
      <c r="D49" s="30" t="s">
        <v>24</v>
      </c>
      <c r="E49" s="3">
        <v>1</v>
      </c>
      <c r="F49" s="30" t="s">
        <v>13</v>
      </c>
    </row>
    <row r="50" spans="1:6" ht="14.45" customHeight="1">
      <c r="A50" s="35"/>
      <c r="B50" s="36"/>
      <c r="C50" s="33"/>
      <c r="D50" s="30" t="s">
        <v>33</v>
      </c>
      <c r="E50" s="3">
        <v>1</v>
      </c>
      <c r="F50" s="30" t="s">
        <v>13</v>
      </c>
    </row>
    <row r="51" spans="1:6" ht="14.45" customHeight="1">
      <c r="A51" s="35"/>
      <c r="B51" s="36"/>
      <c r="C51" s="33"/>
      <c r="D51" s="30" t="s">
        <v>12</v>
      </c>
      <c r="E51" s="3">
        <v>2</v>
      </c>
      <c r="F51" s="30" t="s">
        <v>13</v>
      </c>
    </row>
    <row r="52" spans="1:6" ht="14.45" customHeight="1">
      <c r="A52" s="35"/>
      <c r="B52" s="36"/>
      <c r="C52" s="33"/>
      <c r="D52" s="30" t="s">
        <v>34</v>
      </c>
      <c r="E52" s="3">
        <v>1</v>
      </c>
      <c r="F52" s="30" t="s">
        <v>13</v>
      </c>
    </row>
    <row r="53" spans="1:6" ht="14.45" customHeight="1">
      <c r="A53" s="35"/>
      <c r="B53" s="36"/>
      <c r="C53" s="33"/>
      <c r="D53" s="30" t="s">
        <v>156</v>
      </c>
      <c r="E53" s="3">
        <v>700</v>
      </c>
      <c r="F53" s="30" t="s">
        <v>32</v>
      </c>
    </row>
    <row r="54" spans="1:6" ht="14.45" customHeight="1">
      <c r="A54" s="35"/>
      <c r="B54" s="36"/>
      <c r="C54" s="33"/>
      <c r="D54" s="30" t="s">
        <v>14</v>
      </c>
      <c r="E54" s="3">
        <v>1</v>
      </c>
      <c r="F54" s="30" t="s">
        <v>13</v>
      </c>
    </row>
    <row r="55" spans="1:6" ht="14.45" customHeight="1">
      <c r="A55" s="35"/>
      <c r="B55" s="36"/>
      <c r="C55" s="33"/>
      <c r="D55" s="30" t="s">
        <v>15</v>
      </c>
      <c r="E55" s="3">
        <v>1</v>
      </c>
      <c r="F55" s="30" t="s">
        <v>13</v>
      </c>
    </row>
    <row r="56" spans="1:6" ht="14.45" customHeight="1">
      <c r="A56" s="35"/>
      <c r="B56" s="36"/>
      <c r="C56" s="34"/>
      <c r="D56" s="30" t="s">
        <v>16</v>
      </c>
      <c r="E56" s="3">
        <v>1</v>
      </c>
      <c r="F56" s="30" t="s">
        <v>13</v>
      </c>
    </row>
    <row r="57" spans="1:6" ht="15">
      <c r="A57" s="35" t="s">
        <v>157</v>
      </c>
      <c r="B57" s="36">
        <v>356</v>
      </c>
      <c r="C57" s="31" t="s">
        <v>158</v>
      </c>
      <c r="D57" s="30" t="s">
        <v>159</v>
      </c>
      <c r="E57" s="3">
        <v>250</v>
      </c>
      <c r="F57" s="30" t="s">
        <v>9</v>
      </c>
    </row>
    <row r="58" spans="1:6" ht="14.45" customHeight="1">
      <c r="A58" s="35"/>
      <c r="B58" s="36"/>
      <c r="C58" s="33"/>
      <c r="D58" s="30" t="s">
        <v>12</v>
      </c>
      <c r="E58" s="3">
        <v>2</v>
      </c>
      <c r="F58" s="30" t="s">
        <v>13</v>
      </c>
    </row>
    <row r="59" spans="1:6" ht="14.45" customHeight="1">
      <c r="A59" s="35"/>
      <c r="B59" s="36"/>
      <c r="C59" s="33"/>
      <c r="D59" s="30" t="s">
        <v>44</v>
      </c>
      <c r="E59" s="3">
        <v>0.5</v>
      </c>
      <c r="F59" s="30" t="s">
        <v>13</v>
      </c>
    </row>
    <row r="60" spans="1:6" ht="14.45" customHeight="1">
      <c r="A60" s="35"/>
      <c r="B60" s="36"/>
      <c r="C60" s="33"/>
      <c r="D60" s="30" t="s">
        <v>33</v>
      </c>
      <c r="E60" s="3">
        <v>2</v>
      </c>
      <c r="F60" s="30" t="s">
        <v>13</v>
      </c>
    </row>
    <row r="61" spans="1:6" ht="14.45" customHeight="1">
      <c r="A61" s="35"/>
      <c r="B61" s="36"/>
      <c r="C61" s="33"/>
      <c r="D61" s="30" t="s">
        <v>160</v>
      </c>
      <c r="E61" s="3">
        <v>16</v>
      </c>
      <c r="F61" s="30" t="s">
        <v>13</v>
      </c>
    </row>
    <row r="62" spans="1:6" ht="14.45" customHeight="1">
      <c r="A62" s="35"/>
      <c r="B62" s="36"/>
      <c r="C62" s="33"/>
      <c r="D62" s="30" t="s">
        <v>24</v>
      </c>
      <c r="E62" s="3">
        <v>1</v>
      </c>
      <c r="F62" s="30" t="s">
        <v>13</v>
      </c>
    </row>
    <row r="63" spans="1:6" ht="14.45" customHeight="1">
      <c r="A63" s="35"/>
      <c r="B63" s="36"/>
      <c r="C63" s="33"/>
      <c r="D63" s="30" t="s">
        <v>161</v>
      </c>
      <c r="E63" s="3">
        <v>100</v>
      </c>
      <c r="F63" s="30" t="s">
        <v>9</v>
      </c>
    </row>
    <row r="64" spans="1:6" ht="14.45" customHeight="1">
      <c r="A64" s="35"/>
      <c r="B64" s="36"/>
      <c r="C64" s="33"/>
      <c r="D64" s="30" t="s">
        <v>162</v>
      </c>
      <c r="E64" s="3">
        <v>50</v>
      </c>
      <c r="F64" s="30" t="s">
        <v>9</v>
      </c>
    </row>
    <row r="65" spans="1:6" ht="14.45" customHeight="1">
      <c r="A65" s="35"/>
      <c r="B65" s="36"/>
      <c r="C65" s="33"/>
      <c r="D65" s="30" t="s">
        <v>14</v>
      </c>
      <c r="E65" s="3">
        <v>1</v>
      </c>
      <c r="F65" s="30" t="s">
        <v>13</v>
      </c>
    </row>
    <row r="66" spans="1:6" ht="14.45" customHeight="1">
      <c r="A66" s="35"/>
      <c r="B66" s="36"/>
      <c r="C66" s="33"/>
      <c r="D66" s="30" t="s">
        <v>56</v>
      </c>
      <c r="E66" s="3">
        <v>1</v>
      </c>
      <c r="F66" s="30" t="s">
        <v>13</v>
      </c>
    </row>
    <row r="67" spans="1:6" ht="14.45" customHeight="1">
      <c r="A67" s="35"/>
      <c r="B67" s="36"/>
      <c r="C67" s="33"/>
      <c r="D67" s="30" t="s">
        <v>163</v>
      </c>
      <c r="E67" s="3">
        <v>1</v>
      </c>
      <c r="F67" s="30" t="s">
        <v>47</v>
      </c>
    </row>
    <row r="68" spans="1:6" ht="14.45" customHeight="1">
      <c r="A68" s="35"/>
      <c r="B68" s="36"/>
      <c r="C68" s="33"/>
      <c r="D68" s="30" t="s">
        <v>15</v>
      </c>
      <c r="E68" s="3">
        <v>1</v>
      </c>
      <c r="F68" s="30" t="s">
        <v>13</v>
      </c>
    </row>
    <row r="69" spans="1:6" ht="14.45" customHeight="1">
      <c r="A69" s="35"/>
      <c r="B69" s="36"/>
      <c r="C69" s="34"/>
      <c r="D69" s="30" t="s">
        <v>16</v>
      </c>
      <c r="E69" s="3">
        <v>1</v>
      </c>
      <c r="F69" s="30" t="s">
        <v>13</v>
      </c>
    </row>
    <row r="70" spans="1:6" ht="15">
      <c r="A70" s="35" t="s">
        <v>164</v>
      </c>
      <c r="B70" s="36">
        <v>356</v>
      </c>
      <c r="C70" s="31" t="s">
        <v>165</v>
      </c>
      <c r="D70" s="30" t="s">
        <v>46</v>
      </c>
      <c r="E70" s="3">
        <v>300</v>
      </c>
      <c r="F70" s="30" t="s">
        <v>9</v>
      </c>
    </row>
    <row r="71" spans="1:6" ht="14.45" customHeight="1">
      <c r="A71" s="35"/>
      <c r="B71" s="36"/>
      <c r="C71" s="33"/>
      <c r="D71" s="30" t="s">
        <v>74</v>
      </c>
      <c r="E71" s="3">
        <v>3</v>
      </c>
      <c r="F71" s="30" t="s">
        <v>13</v>
      </c>
    </row>
    <row r="72" spans="1:6" ht="14.45" customHeight="1">
      <c r="A72" s="35"/>
      <c r="B72" s="36"/>
      <c r="C72" s="33"/>
      <c r="D72" s="30" t="s">
        <v>166</v>
      </c>
      <c r="E72" s="3">
        <v>150</v>
      </c>
      <c r="F72" s="30" t="s">
        <v>9</v>
      </c>
    </row>
    <row r="73" spans="1:6" ht="14.45" customHeight="1">
      <c r="A73" s="35"/>
      <c r="B73" s="36"/>
      <c r="C73" s="33"/>
      <c r="D73" s="30" t="s">
        <v>72</v>
      </c>
      <c r="E73" s="3">
        <v>200</v>
      </c>
      <c r="F73" s="30" t="s">
        <v>9</v>
      </c>
    </row>
    <row r="74" spans="1:6" ht="14.45" customHeight="1">
      <c r="A74" s="35"/>
      <c r="B74" s="36"/>
      <c r="C74" s="33"/>
      <c r="D74" s="30" t="s">
        <v>139</v>
      </c>
      <c r="E74" s="3">
        <v>100</v>
      </c>
      <c r="F74" s="30" t="s">
        <v>9</v>
      </c>
    </row>
    <row r="75" spans="1:6" ht="14.45" customHeight="1">
      <c r="A75" s="35"/>
      <c r="B75" s="36"/>
      <c r="C75" s="33"/>
      <c r="D75" s="30" t="s">
        <v>31</v>
      </c>
      <c r="E75" s="3">
        <v>50</v>
      </c>
      <c r="F75" s="30" t="s">
        <v>32</v>
      </c>
    </row>
    <row r="76" spans="1:6" ht="14.45" customHeight="1">
      <c r="A76" s="35"/>
      <c r="B76" s="36"/>
      <c r="C76" s="33"/>
      <c r="D76" s="30" t="s">
        <v>14</v>
      </c>
      <c r="E76" s="3">
        <v>1</v>
      </c>
      <c r="F76" s="30" t="s">
        <v>13</v>
      </c>
    </row>
    <row r="77" spans="1:6" ht="14.45" customHeight="1">
      <c r="A77" s="35"/>
      <c r="B77" s="36"/>
      <c r="C77" s="33"/>
      <c r="D77" s="30" t="s">
        <v>15</v>
      </c>
      <c r="E77" s="3">
        <v>1</v>
      </c>
      <c r="F77" s="30" t="s">
        <v>13</v>
      </c>
    </row>
    <row r="78" spans="1:6" ht="14.45" customHeight="1">
      <c r="A78" s="35"/>
      <c r="B78" s="36"/>
      <c r="C78" s="34"/>
      <c r="D78" s="30" t="s">
        <v>16</v>
      </c>
      <c r="E78" s="3">
        <v>1</v>
      </c>
      <c r="F78" s="30" t="s">
        <v>13</v>
      </c>
    </row>
    <row r="79" spans="1:6" ht="15">
      <c r="A79" s="35" t="s">
        <v>167</v>
      </c>
      <c r="B79" s="36">
        <v>357</v>
      </c>
      <c r="C79" s="31" t="s">
        <v>168</v>
      </c>
      <c r="D79" s="30" t="s">
        <v>46</v>
      </c>
      <c r="E79" s="3">
        <v>300</v>
      </c>
      <c r="F79" s="30" t="s">
        <v>9</v>
      </c>
    </row>
    <row r="80" spans="1:6" ht="14.45" customHeight="1">
      <c r="A80" s="35"/>
      <c r="B80" s="36"/>
      <c r="C80" s="33"/>
      <c r="D80" s="30" t="s">
        <v>91</v>
      </c>
      <c r="E80" s="3">
        <v>100</v>
      </c>
      <c r="F80" s="30" t="s">
        <v>9</v>
      </c>
    </row>
    <row r="81" spans="1:6" ht="14.45" customHeight="1">
      <c r="A81" s="35"/>
      <c r="B81" s="36"/>
      <c r="C81" s="33"/>
      <c r="D81" s="30" t="s">
        <v>55</v>
      </c>
      <c r="E81" s="3">
        <v>100</v>
      </c>
      <c r="F81" s="30" t="s">
        <v>9</v>
      </c>
    </row>
    <row r="82" spans="1:6" ht="14.45" customHeight="1">
      <c r="A82" s="35"/>
      <c r="B82" s="36"/>
      <c r="C82" s="33"/>
      <c r="D82" s="30" t="s">
        <v>74</v>
      </c>
      <c r="E82" s="3">
        <v>2</v>
      </c>
      <c r="F82" s="30" t="s">
        <v>13</v>
      </c>
    </row>
    <row r="83" spans="1:6" ht="14.45" customHeight="1">
      <c r="A83" s="35"/>
      <c r="B83" s="36"/>
      <c r="C83" s="33"/>
      <c r="D83" s="30" t="s">
        <v>169</v>
      </c>
      <c r="E83" s="3">
        <v>8</v>
      </c>
      <c r="F83" s="30" t="s">
        <v>13</v>
      </c>
    </row>
    <row r="84" spans="1:6" ht="14.45" customHeight="1">
      <c r="A84" s="35"/>
      <c r="B84" s="36"/>
      <c r="C84" s="33"/>
      <c r="D84" s="30" t="s">
        <v>14</v>
      </c>
      <c r="E84" s="3">
        <v>1</v>
      </c>
      <c r="F84" s="30" t="s">
        <v>13</v>
      </c>
    </row>
    <row r="85" spans="1:6" ht="14.45" customHeight="1">
      <c r="A85" s="35"/>
      <c r="B85" s="36"/>
      <c r="C85" s="33"/>
      <c r="D85" s="30" t="s">
        <v>15</v>
      </c>
      <c r="E85" s="3">
        <v>1</v>
      </c>
      <c r="F85" s="30" t="s">
        <v>13</v>
      </c>
    </row>
    <row r="86" spans="1:6" ht="14.45" customHeight="1">
      <c r="A86" s="35"/>
      <c r="B86" s="36"/>
      <c r="C86" s="34"/>
      <c r="D86" s="30" t="s">
        <v>16</v>
      </c>
      <c r="E86" s="3">
        <v>1</v>
      </c>
      <c r="F86" s="30" t="s">
        <v>13</v>
      </c>
    </row>
    <row r="87" spans="1:6" ht="15">
      <c r="A87" s="35" t="s">
        <v>170</v>
      </c>
      <c r="B87" s="36">
        <v>362</v>
      </c>
      <c r="C87" s="31" t="s">
        <v>171</v>
      </c>
      <c r="D87" s="30" t="s">
        <v>159</v>
      </c>
      <c r="E87" s="3">
        <v>250</v>
      </c>
      <c r="F87" s="30" t="s">
        <v>9</v>
      </c>
    </row>
    <row r="88" spans="1:6" ht="14.45" customHeight="1">
      <c r="A88" s="35"/>
      <c r="B88" s="36"/>
      <c r="C88" s="33"/>
      <c r="D88" s="30" t="s">
        <v>74</v>
      </c>
      <c r="E88" s="3">
        <v>4</v>
      </c>
      <c r="F88" s="30" t="s">
        <v>13</v>
      </c>
    </row>
    <row r="89" spans="1:6" ht="14.45" customHeight="1">
      <c r="A89" s="35"/>
      <c r="B89" s="36"/>
      <c r="C89" s="33"/>
      <c r="D89" s="30" t="s">
        <v>172</v>
      </c>
      <c r="E89" s="3">
        <v>3</v>
      </c>
      <c r="F89" s="30" t="s">
        <v>13</v>
      </c>
    </row>
    <row r="90" spans="1:6" ht="14.45" customHeight="1">
      <c r="A90" s="35"/>
      <c r="B90" s="36"/>
      <c r="C90" s="33"/>
      <c r="D90" s="30" t="s">
        <v>173</v>
      </c>
      <c r="E90" s="3">
        <v>1</v>
      </c>
      <c r="F90" s="30" t="s">
        <v>13</v>
      </c>
    </row>
    <row r="91" spans="1:6" ht="14.45" customHeight="1">
      <c r="A91" s="35"/>
      <c r="B91" s="36"/>
      <c r="C91" s="33"/>
      <c r="D91" s="30" t="s">
        <v>24</v>
      </c>
      <c r="E91" s="3">
        <v>1</v>
      </c>
      <c r="F91" s="30" t="s">
        <v>13</v>
      </c>
    </row>
    <row r="92" spans="1:6" ht="14.45" customHeight="1">
      <c r="A92" s="35"/>
      <c r="B92" s="36"/>
      <c r="C92" s="33"/>
      <c r="D92" s="30" t="s">
        <v>12</v>
      </c>
      <c r="E92" s="3">
        <v>2</v>
      </c>
      <c r="F92" s="30" t="s">
        <v>13</v>
      </c>
    </row>
    <row r="93" spans="1:6" ht="14.45" customHeight="1">
      <c r="A93" s="35"/>
      <c r="B93" s="36"/>
      <c r="C93" s="33"/>
      <c r="D93" s="30" t="s">
        <v>14</v>
      </c>
      <c r="E93" s="3">
        <v>1</v>
      </c>
      <c r="F93" s="30" t="s">
        <v>13</v>
      </c>
    </row>
    <row r="94" spans="1:6" ht="14.45" customHeight="1">
      <c r="A94" s="35"/>
      <c r="B94" s="36"/>
      <c r="C94" s="33"/>
      <c r="D94" s="30" t="s">
        <v>56</v>
      </c>
      <c r="E94" s="3">
        <v>1</v>
      </c>
      <c r="F94" s="30" t="s">
        <v>13</v>
      </c>
    </row>
    <row r="95" spans="1:6" ht="14.45" customHeight="1">
      <c r="A95" s="35"/>
      <c r="B95" s="36"/>
      <c r="C95" s="33"/>
      <c r="D95" s="30" t="s">
        <v>15</v>
      </c>
      <c r="E95" s="3">
        <v>1</v>
      </c>
      <c r="F95" s="30" t="s">
        <v>13</v>
      </c>
    </row>
    <row r="96" spans="1:6" ht="14.45" customHeight="1">
      <c r="A96" s="35"/>
      <c r="B96" s="36"/>
      <c r="C96" s="34"/>
      <c r="D96" s="30" t="s">
        <v>16</v>
      </c>
      <c r="E96" s="3">
        <v>1</v>
      </c>
      <c r="F96" s="30" t="s">
        <v>13</v>
      </c>
    </row>
    <row r="97" spans="1:6" ht="15">
      <c r="A97" s="35" t="s">
        <v>174</v>
      </c>
      <c r="B97" s="36">
        <v>365</v>
      </c>
      <c r="C97" s="31" t="s">
        <v>175</v>
      </c>
      <c r="D97" s="30" t="s">
        <v>46</v>
      </c>
      <c r="E97" s="3">
        <v>300</v>
      </c>
      <c r="F97" s="30" t="s">
        <v>9</v>
      </c>
    </row>
    <row r="98" spans="1:6" ht="14.45" customHeight="1">
      <c r="A98" s="35"/>
      <c r="B98" s="36"/>
      <c r="C98" s="33"/>
      <c r="D98" s="30" t="s">
        <v>73</v>
      </c>
      <c r="E98" s="3">
        <v>100</v>
      </c>
      <c r="F98" s="30" t="s">
        <v>9</v>
      </c>
    </row>
    <row r="99" spans="1:6" ht="14.45" customHeight="1">
      <c r="A99" s="35"/>
      <c r="B99" s="36"/>
      <c r="C99" s="33"/>
      <c r="D99" s="30" t="s">
        <v>20</v>
      </c>
      <c r="E99" s="3">
        <v>2</v>
      </c>
      <c r="F99" s="30" t="s">
        <v>13</v>
      </c>
    </row>
    <row r="100" spans="1:6" ht="14.45" customHeight="1">
      <c r="A100" s="35"/>
      <c r="B100" s="36"/>
      <c r="C100" s="33"/>
      <c r="D100" s="30" t="s">
        <v>24</v>
      </c>
      <c r="E100" s="3">
        <v>1</v>
      </c>
      <c r="F100" s="30" t="s">
        <v>13</v>
      </c>
    </row>
    <row r="101" spans="1:6" ht="14.45" customHeight="1">
      <c r="A101" s="35"/>
      <c r="B101" s="36"/>
      <c r="C101" s="33"/>
      <c r="D101" s="30" t="s">
        <v>35</v>
      </c>
      <c r="E101" s="3">
        <v>0.5</v>
      </c>
      <c r="F101" s="30" t="s">
        <v>13</v>
      </c>
    </row>
    <row r="102" spans="1:6" ht="14.45" customHeight="1">
      <c r="A102" s="35"/>
      <c r="B102" s="36"/>
      <c r="C102" s="33"/>
      <c r="D102" s="30" t="s">
        <v>176</v>
      </c>
      <c r="E102" s="3">
        <v>1750</v>
      </c>
      <c r="F102" s="30" t="s">
        <v>32</v>
      </c>
    </row>
    <row r="103" spans="1:6" ht="14.45" customHeight="1">
      <c r="A103" s="35"/>
      <c r="B103" s="36"/>
      <c r="C103" s="33"/>
      <c r="D103" s="30" t="s">
        <v>80</v>
      </c>
      <c r="E103" s="3">
        <v>100</v>
      </c>
      <c r="F103" s="30" t="s">
        <v>9</v>
      </c>
    </row>
    <row r="104" spans="1:6" ht="14.45" customHeight="1">
      <c r="A104" s="35"/>
      <c r="B104" s="36"/>
      <c r="C104" s="33"/>
      <c r="D104" s="30" t="s">
        <v>14</v>
      </c>
      <c r="E104" s="3">
        <v>1</v>
      </c>
      <c r="F104" s="30" t="s">
        <v>13</v>
      </c>
    </row>
    <row r="105" spans="1:6" ht="14.45" customHeight="1">
      <c r="A105" s="35"/>
      <c r="B105" s="36"/>
      <c r="C105" s="33"/>
      <c r="D105" s="30" t="s">
        <v>15</v>
      </c>
      <c r="E105" s="3">
        <v>1</v>
      </c>
      <c r="F105" s="30" t="s">
        <v>13</v>
      </c>
    </row>
    <row r="106" spans="1:6" ht="14.45" customHeight="1">
      <c r="A106" s="35"/>
      <c r="B106" s="36"/>
      <c r="C106" s="33"/>
      <c r="D106" s="30" t="s">
        <v>51</v>
      </c>
      <c r="E106" s="3">
        <v>1</v>
      </c>
      <c r="F106" s="30" t="s">
        <v>13</v>
      </c>
    </row>
    <row r="107" spans="1:6" ht="14.45" customHeight="1">
      <c r="A107" s="35"/>
      <c r="B107" s="36"/>
      <c r="C107" s="33"/>
      <c r="D107" s="30" t="s">
        <v>144</v>
      </c>
      <c r="E107" s="3">
        <v>1</v>
      </c>
      <c r="F107" s="30" t="s">
        <v>13</v>
      </c>
    </row>
    <row r="108" spans="1:6" ht="14.45" customHeight="1">
      <c r="A108" s="35"/>
      <c r="B108" s="36"/>
      <c r="C108" s="34"/>
      <c r="D108" s="30" t="s">
        <v>16</v>
      </c>
      <c r="E108" s="3">
        <v>1</v>
      </c>
      <c r="F108" s="30" t="s">
        <v>13</v>
      </c>
    </row>
    <row r="109" spans="1:6" ht="15">
      <c r="A109" s="35" t="s">
        <v>177</v>
      </c>
      <c r="B109" s="36">
        <v>365</v>
      </c>
      <c r="C109" s="31" t="s">
        <v>178</v>
      </c>
      <c r="D109" s="30" t="s">
        <v>46</v>
      </c>
      <c r="E109" s="3">
        <v>300</v>
      </c>
      <c r="F109" s="30" t="s">
        <v>9</v>
      </c>
    </row>
    <row r="110" spans="1:6" ht="14.45" customHeight="1">
      <c r="A110" s="35"/>
      <c r="B110" s="36"/>
      <c r="C110" s="33"/>
      <c r="D110" s="30" t="s">
        <v>179</v>
      </c>
      <c r="E110" s="3">
        <v>250</v>
      </c>
      <c r="F110" s="30" t="s">
        <v>9</v>
      </c>
    </row>
    <row r="111" spans="1:6" ht="14.45" customHeight="1">
      <c r="A111" s="35"/>
      <c r="B111" s="36"/>
      <c r="C111" s="33"/>
      <c r="D111" s="30" t="s">
        <v>180</v>
      </c>
      <c r="E111" s="3">
        <v>1</v>
      </c>
      <c r="F111" s="30" t="s">
        <v>13</v>
      </c>
    </row>
    <row r="112" spans="1:6" ht="14.45" customHeight="1">
      <c r="A112" s="35"/>
      <c r="B112" s="36"/>
      <c r="C112" s="33"/>
      <c r="D112" s="30" t="s">
        <v>24</v>
      </c>
      <c r="E112" s="3">
        <v>1</v>
      </c>
      <c r="F112" s="30" t="s">
        <v>13</v>
      </c>
    </row>
    <row r="113" spans="1:6" ht="14.45" customHeight="1">
      <c r="A113" s="35"/>
      <c r="B113" s="36"/>
      <c r="C113" s="33"/>
      <c r="D113" s="30" t="s">
        <v>12</v>
      </c>
      <c r="E113" s="3">
        <v>2</v>
      </c>
      <c r="F113" s="30" t="s">
        <v>13</v>
      </c>
    </row>
    <row r="114" spans="1:6" ht="14.45" customHeight="1">
      <c r="A114" s="35"/>
      <c r="B114" s="36"/>
      <c r="C114" s="33"/>
      <c r="D114" s="30" t="s">
        <v>181</v>
      </c>
      <c r="E114" s="3">
        <v>11</v>
      </c>
      <c r="F114" s="30" t="s">
        <v>13</v>
      </c>
    </row>
    <row r="115" spans="1:6" ht="14.45" customHeight="1">
      <c r="A115" s="35"/>
      <c r="B115" s="36"/>
      <c r="C115" s="33"/>
      <c r="D115" s="30" t="s">
        <v>45</v>
      </c>
      <c r="E115" s="3">
        <v>1500</v>
      </c>
      <c r="F115" s="30" t="s">
        <v>32</v>
      </c>
    </row>
    <row r="116" spans="1:6" ht="14.45" customHeight="1">
      <c r="A116" s="35"/>
      <c r="B116" s="36"/>
      <c r="C116" s="33"/>
      <c r="D116" s="30" t="s">
        <v>182</v>
      </c>
      <c r="E116" s="3">
        <v>50</v>
      </c>
      <c r="F116" s="30" t="s">
        <v>32</v>
      </c>
    </row>
    <row r="117" spans="1:6" ht="14.45" customHeight="1">
      <c r="A117" s="35"/>
      <c r="B117" s="36"/>
      <c r="C117" s="33"/>
      <c r="D117" s="30" t="s">
        <v>14</v>
      </c>
      <c r="E117" s="3">
        <v>1</v>
      </c>
      <c r="F117" s="30" t="s">
        <v>13</v>
      </c>
    </row>
    <row r="118" spans="1:6" ht="14.45" customHeight="1">
      <c r="A118" s="35"/>
      <c r="B118" s="36"/>
      <c r="C118" s="33"/>
      <c r="D118" s="30" t="s">
        <v>15</v>
      </c>
      <c r="E118" s="3">
        <v>1</v>
      </c>
      <c r="F118" s="30" t="s">
        <v>13</v>
      </c>
    </row>
    <row r="119" spans="1:6" ht="14.45" customHeight="1">
      <c r="A119" s="35"/>
      <c r="B119" s="36"/>
      <c r="C119" s="33"/>
      <c r="D119" s="30" t="s">
        <v>51</v>
      </c>
      <c r="E119" s="3">
        <v>1</v>
      </c>
      <c r="F119" s="30" t="s">
        <v>13</v>
      </c>
    </row>
    <row r="120" spans="1:6" ht="14.45" customHeight="1">
      <c r="A120" s="35"/>
      <c r="B120" s="36"/>
      <c r="C120" s="34"/>
      <c r="D120" s="30" t="s">
        <v>16</v>
      </c>
      <c r="E120" s="3">
        <v>1</v>
      </c>
      <c r="F120" s="30" t="s">
        <v>13</v>
      </c>
    </row>
    <row r="121" spans="1:6" ht="15">
      <c r="A121" s="35" t="s">
        <v>183</v>
      </c>
      <c r="B121" s="36">
        <v>366</v>
      </c>
      <c r="C121" s="31" t="s">
        <v>184</v>
      </c>
      <c r="D121" s="30" t="s">
        <v>46</v>
      </c>
      <c r="E121" s="3">
        <v>300</v>
      </c>
      <c r="F121" s="30" t="s">
        <v>9</v>
      </c>
    </row>
    <row r="122" spans="1:6" ht="14.45" customHeight="1">
      <c r="A122" s="35"/>
      <c r="B122" s="36"/>
      <c r="C122" s="33"/>
      <c r="D122" s="30" t="s">
        <v>185</v>
      </c>
      <c r="E122" s="3">
        <v>0.5</v>
      </c>
      <c r="F122" s="30" t="s">
        <v>13</v>
      </c>
    </row>
    <row r="123" spans="1:6" ht="14.45" customHeight="1">
      <c r="A123" s="35"/>
      <c r="B123" s="36"/>
      <c r="C123" s="33"/>
      <c r="D123" s="30" t="s">
        <v>91</v>
      </c>
      <c r="E123" s="3">
        <v>100</v>
      </c>
      <c r="F123" s="30" t="s">
        <v>9</v>
      </c>
    </row>
    <row r="124" spans="1:6" ht="14.45" customHeight="1">
      <c r="A124" s="35"/>
      <c r="B124" s="36"/>
      <c r="C124" s="33"/>
      <c r="D124" s="30" t="s">
        <v>24</v>
      </c>
      <c r="E124" s="3">
        <v>1</v>
      </c>
      <c r="F124" s="30" t="s">
        <v>13</v>
      </c>
    </row>
    <row r="125" spans="1:6" ht="14.45" customHeight="1">
      <c r="A125" s="35"/>
      <c r="B125" s="36"/>
      <c r="C125" s="33"/>
      <c r="D125" s="30" t="s">
        <v>34</v>
      </c>
      <c r="E125" s="3">
        <v>1</v>
      </c>
      <c r="F125" s="30" t="s">
        <v>13</v>
      </c>
    </row>
    <row r="126" spans="1:6" ht="14.45" customHeight="1">
      <c r="A126" s="35"/>
      <c r="B126" s="36"/>
      <c r="C126" s="33"/>
      <c r="D126" s="30" t="s">
        <v>100</v>
      </c>
      <c r="E126" s="3">
        <v>1</v>
      </c>
      <c r="F126" s="30" t="s">
        <v>13</v>
      </c>
    </row>
    <row r="127" spans="1:6" ht="14.45" customHeight="1">
      <c r="A127" s="35"/>
      <c r="B127" s="36"/>
      <c r="C127" s="33"/>
      <c r="D127" s="30" t="s">
        <v>186</v>
      </c>
      <c r="E127" s="3">
        <v>75</v>
      </c>
      <c r="F127" s="30" t="s">
        <v>32</v>
      </c>
    </row>
    <row r="128" spans="1:6" ht="14.45" customHeight="1">
      <c r="A128" s="35"/>
      <c r="B128" s="36"/>
      <c r="C128" s="33"/>
      <c r="D128" s="30" t="s">
        <v>14</v>
      </c>
      <c r="E128" s="3">
        <v>1</v>
      </c>
      <c r="F128" s="30" t="s">
        <v>13</v>
      </c>
    </row>
    <row r="129" spans="1:6" ht="14.45" customHeight="1">
      <c r="A129" s="35"/>
      <c r="B129" s="36"/>
      <c r="C129" s="33"/>
      <c r="D129" s="30" t="s">
        <v>15</v>
      </c>
      <c r="E129" s="3">
        <v>1</v>
      </c>
      <c r="F129" s="30" t="s">
        <v>13</v>
      </c>
    </row>
    <row r="130" spans="1:6" ht="14.45" customHeight="1">
      <c r="A130" s="35"/>
      <c r="B130" s="36"/>
      <c r="C130" s="33"/>
      <c r="D130" s="30" t="s">
        <v>51</v>
      </c>
      <c r="E130" s="3">
        <v>1</v>
      </c>
      <c r="F130" s="30" t="s">
        <v>13</v>
      </c>
    </row>
    <row r="131" spans="1:6" ht="14.45" customHeight="1">
      <c r="A131" s="35"/>
      <c r="B131" s="36"/>
      <c r="C131" s="33"/>
      <c r="D131" s="30" t="s">
        <v>144</v>
      </c>
      <c r="E131" s="3">
        <v>1</v>
      </c>
      <c r="F131" s="30" t="s">
        <v>13</v>
      </c>
    </row>
    <row r="132" spans="1:6" ht="14.45" customHeight="1">
      <c r="A132" s="35"/>
      <c r="B132" s="36"/>
      <c r="C132" s="34"/>
      <c r="D132" s="30" t="s">
        <v>16</v>
      </c>
      <c r="E132" s="3">
        <v>1</v>
      </c>
      <c r="F132" s="30" t="s">
        <v>13</v>
      </c>
    </row>
    <row r="133" spans="1:6" ht="15"/>
  </sheetData>
  <mergeCells count="36">
    <mergeCell ref="C2:C12"/>
    <mergeCell ref="C13:C23"/>
    <mergeCell ref="C24:C33"/>
    <mergeCell ref="C34:C44"/>
    <mergeCell ref="B13:B23"/>
    <mergeCell ref="B2:B12"/>
    <mergeCell ref="B70:B78"/>
    <mergeCell ref="B57:B69"/>
    <mergeCell ref="B45:B56"/>
    <mergeCell ref="B34:B44"/>
    <mergeCell ref="B24:B33"/>
    <mergeCell ref="B121:B132"/>
    <mergeCell ref="B109:B120"/>
    <mergeCell ref="B97:B108"/>
    <mergeCell ref="B87:B96"/>
    <mergeCell ref="B79:B86"/>
    <mergeCell ref="A121:A132"/>
    <mergeCell ref="A2:A12"/>
    <mergeCell ref="A13:A23"/>
    <mergeCell ref="A24:A33"/>
    <mergeCell ref="A34:A44"/>
    <mergeCell ref="A45:A56"/>
    <mergeCell ref="A57:A69"/>
    <mergeCell ref="A70:A78"/>
    <mergeCell ref="A97:A108"/>
    <mergeCell ref="A87:A96"/>
    <mergeCell ref="A79:A86"/>
    <mergeCell ref="A109:A120"/>
    <mergeCell ref="C97:C108"/>
    <mergeCell ref="C109:C120"/>
    <mergeCell ref="C121:C132"/>
    <mergeCell ref="C45:C56"/>
    <mergeCell ref="C57:C69"/>
    <mergeCell ref="C70:C78"/>
    <mergeCell ref="C79:C86"/>
    <mergeCell ref="C87:C96"/>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E1979BF-1A78-4F8A-816B-B689E79A98FD}">
          <x14:formula1>
            <xm:f>Otros!$B$3:$B$6</xm:f>
          </x14:formula1>
          <xm:sqref>F2:F132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D8B04-0774-4323-9453-B79F911F0FA8}">
  <dimension ref="A1:K148"/>
  <sheetViews>
    <sheetView workbookViewId="0">
      <pane ySplit="1" topLeftCell="A132" activePane="bottomLeft" state="frozen"/>
      <selection pane="bottomLeft" activeCell="C148" sqref="C148"/>
      <selection activeCell="B2" sqref="B2:B28"/>
    </sheetView>
  </sheetViews>
  <sheetFormatPr defaultColWidth="11.5703125" defaultRowHeight="14.45"/>
  <cols>
    <col min="1" max="1" width="28.7109375" style="6" bestFit="1" customWidth="1"/>
    <col min="2" max="3" width="10.28515625" style="7" customWidth="1"/>
    <col min="4" max="4" width="22.7109375" style="7" bestFit="1" customWidth="1"/>
    <col min="5" max="5" width="11.5703125" style="8"/>
    <col min="6" max="6" width="11.5703125" style="7"/>
    <col min="7" max="16384" width="11.5703125" style="9"/>
  </cols>
  <sheetData>
    <row r="1" spans="1:6" ht="15">
      <c r="A1" s="30" t="str">
        <f>Sopas!A1</f>
        <v>Plato</v>
      </c>
      <c r="B1" s="30" t="s">
        <v>1</v>
      </c>
      <c r="C1" s="30" t="s">
        <v>2</v>
      </c>
      <c r="D1" s="30" t="str">
        <f>Sopas!D1</f>
        <v>Ingredientes</v>
      </c>
      <c r="E1" s="3" t="str">
        <f>Sopas!E1</f>
        <v>Cantidades</v>
      </c>
      <c r="F1" s="30" t="str">
        <f>Sopas!F1</f>
        <v>Unidades</v>
      </c>
    </row>
    <row r="2" spans="1:6" ht="14.45" customHeight="1">
      <c r="A2" s="35" t="s">
        <v>187</v>
      </c>
      <c r="B2" s="36">
        <v>370</v>
      </c>
      <c r="C2" s="31" t="s">
        <v>188</v>
      </c>
      <c r="D2" s="30" t="s">
        <v>189</v>
      </c>
      <c r="E2" s="3">
        <v>16</v>
      </c>
      <c r="F2" s="30" t="s">
        <v>13</v>
      </c>
    </row>
    <row r="3" spans="1:6" ht="14.45" customHeight="1">
      <c r="A3" s="35"/>
      <c r="B3" s="36"/>
      <c r="C3" s="33"/>
      <c r="D3" s="30" t="s">
        <v>124</v>
      </c>
      <c r="E3" s="3">
        <v>400</v>
      </c>
      <c r="F3" s="30" t="s">
        <v>9</v>
      </c>
    </row>
    <row r="4" spans="1:6" ht="14.45" customHeight="1">
      <c r="A4" s="35"/>
      <c r="B4" s="36"/>
      <c r="C4" s="33"/>
      <c r="D4" s="30" t="s">
        <v>12</v>
      </c>
      <c r="E4" s="3">
        <v>2</v>
      </c>
      <c r="F4" s="30" t="s">
        <v>13</v>
      </c>
    </row>
    <row r="5" spans="1:6" ht="14.45" customHeight="1">
      <c r="A5" s="35"/>
      <c r="B5" s="36"/>
      <c r="C5" s="33"/>
      <c r="D5" s="30" t="s">
        <v>24</v>
      </c>
      <c r="E5" s="3">
        <v>1</v>
      </c>
      <c r="F5" s="30" t="s">
        <v>13</v>
      </c>
    </row>
    <row r="6" spans="1:6" ht="14.45" customHeight="1">
      <c r="A6" s="35"/>
      <c r="B6" s="36"/>
      <c r="C6" s="33"/>
      <c r="D6" s="30" t="s">
        <v>34</v>
      </c>
      <c r="E6" s="3">
        <v>1</v>
      </c>
      <c r="F6" s="30" t="s">
        <v>13</v>
      </c>
    </row>
    <row r="7" spans="1:6" ht="14.45" customHeight="1">
      <c r="A7" s="35"/>
      <c r="B7" s="36"/>
      <c r="C7" s="33"/>
      <c r="D7" s="30" t="s">
        <v>33</v>
      </c>
      <c r="E7" s="3">
        <v>2</v>
      </c>
      <c r="F7" s="30" t="s">
        <v>13</v>
      </c>
    </row>
    <row r="8" spans="1:6" ht="14.45" customHeight="1">
      <c r="A8" s="35"/>
      <c r="B8" s="36"/>
      <c r="C8" s="33"/>
      <c r="D8" s="30" t="s">
        <v>190</v>
      </c>
      <c r="E8" s="3">
        <v>1</v>
      </c>
      <c r="F8" s="30" t="s">
        <v>13</v>
      </c>
    </row>
    <row r="9" spans="1:6" ht="14.45" customHeight="1">
      <c r="A9" s="35"/>
      <c r="B9" s="36"/>
      <c r="C9" s="33"/>
      <c r="D9" s="30" t="s">
        <v>62</v>
      </c>
      <c r="E9" s="3">
        <v>125</v>
      </c>
      <c r="F9" s="30" t="s">
        <v>32</v>
      </c>
    </row>
    <row r="10" spans="1:6" ht="14.45" customHeight="1">
      <c r="A10" s="35"/>
      <c r="B10" s="36"/>
      <c r="C10" s="33"/>
      <c r="D10" s="30" t="s">
        <v>191</v>
      </c>
      <c r="E10" s="3">
        <v>250</v>
      </c>
      <c r="F10" s="30" t="s">
        <v>32</v>
      </c>
    </row>
    <row r="11" spans="1:6" ht="14.45" customHeight="1">
      <c r="A11" s="35"/>
      <c r="B11" s="36"/>
      <c r="C11" s="33"/>
      <c r="D11" s="30" t="s">
        <v>192</v>
      </c>
      <c r="E11" s="3">
        <v>50</v>
      </c>
      <c r="F11" s="30" t="s">
        <v>9</v>
      </c>
    </row>
    <row r="12" spans="1:6" ht="14.45" customHeight="1">
      <c r="A12" s="35"/>
      <c r="B12" s="36"/>
      <c r="C12" s="33"/>
      <c r="D12" s="30" t="s">
        <v>14</v>
      </c>
      <c r="E12" s="3">
        <v>1</v>
      </c>
      <c r="F12" s="30" t="s">
        <v>13</v>
      </c>
    </row>
    <row r="13" spans="1:6" ht="14.45" customHeight="1">
      <c r="A13" s="35"/>
      <c r="B13" s="36"/>
      <c r="C13" s="33"/>
      <c r="D13" s="30" t="s">
        <v>15</v>
      </c>
      <c r="E13" s="3">
        <v>1</v>
      </c>
      <c r="F13" s="30" t="s">
        <v>13</v>
      </c>
    </row>
    <row r="14" spans="1:6" ht="14.45" customHeight="1">
      <c r="A14" s="35"/>
      <c r="B14" s="36"/>
      <c r="C14" s="33"/>
      <c r="D14" s="30" t="s">
        <v>51</v>
      </c>
      <c r="E14" s="3">
        <v>1</v>
      </c>
      <c r="F14" s="30" t="s">
        <v>13</v>
      </c>
    </row>
    <row r="15" spans="1:6" ht="14.45" customHeight="1">
      <c r="A15" s="35"/>
      <c r="B15" s="36"/>
      <c r="C15" s="33"/>
      <c r="D15" s="30" t="s">
        <v>16</v>
      </c>
      <c r="E15" s="3">
        <v>1</v>
      </c>
      <c r="F15" s="30" t="s">
        <v>13</v>
      </c>
    </row>
    <row r="16" spans="1:6" ht="14.45" customHeight="1">
      <c r="A16" s="35"/>
      <c r="B16" s="36"/>
      <c r="C16" s="33"/>
      <c r="D16" s="30" t="s">
        <v>61</v>
      </c>
      <c r="E16" s="3">
        <v>80</v>
      </c>
      <c r="F16" s="30" t="s">
        <v>9</v>
      </c>
    </row>
    <row r="17" spans="1:6" ht="14.45" customHeight="1">
      <c r="A17" s="35"/>
      <c r="B17" s="36"/>
      <c r="C17" s="33"/>
      <c r="D17" s="30" t="s">
        <v>69</v>
      </c>
      <c r="E17" s="3">
        <v>1000</v>
      </c>
      <c r="F17" s="30" t="s">
        <v>32</v>
      </c>
    </row>
    <row r="18" spans="1:6" ht="14.45" customHeight="1">
      <c r="A18" s="35"/>
      <c r="B18" s="36"/>
      <c r="C18" s="33"/>
      <c r="D18" s="30" t="s">
        <v>75</v>
      </c>
      <c r="E18" s="3">
        <v>60</v>
      </c>
      <c r="F18" s="30" t="s">
        <v>9</v>
      </c>
    </row>
    <row r="19" spans="1:6" ht="14.45" customHeight="1">
      <c r="A19" s="35"/>
      <c r="B19" s="36"/>
      <c r="C19" s="33"/>
      <c r="D19" s="30" t="s">
        <v>15</v>
      </c>
      <c r="E19" s="3">
        <v>1</v>
      </c>
      <c r="F19" s="30" t="s">
        <v>13</v>
      </c>
    </row>
    <row r="20" spans="1:6" ht="14.45" customHeight="1">
      <c r="A20" s="35"/>
      <c r="B20" s="36"/>
      <c r="C20" s="33"/>
      <c r="D20" s="30" t="s">
        <v>41</v>
      </c>
      <c r="E20" s="3">
        <v>1</v>
      </c>
      <c r="F20" s="30" t="s">
        <v>13</v>
      </c>
    </row>
    <row r="21" spans="1:6" ht="14.45" customHeight="1">
      <c r="A21" s="35"/>
      <c r="B21" s="36"/>
      <c r="C21" s="34"/>
      <c r="D21" s="30" t="s">
        <v>16</v>
      </c>
      <c r="E21" s="3">
        <v>1</v>
      </c>
      <c r="F21" s="30" t="s">
        <v>13</v>
      </c>
    </row>
    <row r="22" spans="1:6" ht="15">
      <c r="A22" s="35" t="s">
        <v>193</v>
      </c>
      <c r="B22" s="36">
        <v>374</v>
      </c>
      <c r="C22" s="31" t="s">
        <v>194</v>
      </c>
      <c r="D22" s="30" t="s">
        <v>195</v>
      </c>
      <c r="E22" s="3">
        <v>300</v>
      </c>
      <c r="F22" s="30" t="s">
        <v>9</v>
      </c>
    </row>
    <row r="23" spans="1:6" ht="14.45" customHeight="1">
      <c r="A23" s="35"/>
      <c r="B23" s="36"/>
      <c r="C23" s="33"/>
      <c r="D23" s="30" t="s">
        <v>100</v>
      </c>
      <c r="E23" s="3">
        <v>3</v>
      </c>
      <c r="F23" s="30" t="s">
        <v>13</v>
      </c>
    </row>
    <row r="24" spans="1:6" ht="14.45" customHeight="1">
      <c r="A24" s="35"/>
      <c r="B24" s="36"/>
      <c r="C24" s="33"/>
      <c r="D24" s="30" t="s">
        <v>196</v>
      </c>
      <c r="E24" s="3">
        <v>75</v>
      </c>
      <c r="F24" s="30" t="s">
        <v>9</v>
      </c>
    </row>
    <row r="25" spans="1:6" ht="14.45" customHeight="1">
      <c r="A25" s="35"/>
      <c r="B25" s="36"/>
      <c r="C25" s="33"/>
      <c r="D25" s="30" t="s">
        <v>12</v>
      </c>
      <c r="E25" s="3">
        <v>2</v>
      </c>
      <c r="F25" s="30" t="s">
        <v>13</v>
      </c>
    </row>
    <row r="26" spans="1:6" ht="14.45" customHeight="1">
      <c r="A26" s="35"/>
      <c r="B26" s="36"/>
      <c r="C26" s="33"/>
      <c r="D26" s="30" t="s">
        <v>197</v>
      </c>
      <c r="E26" s="3">
        <v>12</v>
      </c>
      <c r="F26" s="30" t="s">
        <v>13</v>
      </c>
    </row>
    <row r="27" spans="1:6" ht="14.45" customHeight="1">
      <c r="A27" s="35"/>
      <c r="B27" s="36"/>
      <c r="C27" s="33"/>
      <c r="D27" s="30" t="s">
        <v>14</v>
      </c>
      <c r="E27" s="3">
        <v>1</v>
      </c>
      <c r="F27" s="30" t="s">
        <v>13</v>
      </c>
    </row>
    <row r="28" spans="1:6" ht="14.45" customHeight="1">
      <c r="A28" s="35"/>
      <c r="B28" s="36"/>
      <c r="C28" s="33"/>
      <c r="D28" s="30" t="s">
        <v>81</v>
      </c>
      <c r="E28" s="3">
        <v>1</v>
      </c>
      <c r="F28" s="30" t="s">
        <v>13</v>
      </c>
    </row>
    <row r="29" spans="1:6" ht="14.45" customHeight="1">
      <c r="A29" s="35"/>
      <c r="B29" s="36"/>
      <c r="C29" s="33"/>
      <c r="D29" s="30" t="s">
        <v>15</v>
      </c>
      <c r="E29" s="3">
        <v>1</v>
      </c>
      <c r="F29" s="30" t="s">
        <v>13</v>
      </c>
    </row>
    <row r="30" spans="1:6" ht="14.45" customHeight="1">
      <c r="A30" s="35"/>
      <c r="B30" s="36"/>
      <c r="C30" s="34"/>
      <c r="D30" s="30" t="s">
        <v>16</v>
      </c>
      <c r="E30" s="3">
        <v>1</v>
      </c>
      <c r="F30" s="30" t="s">
        <v>13</v>
      </c>
    </row>
    <row r="31" spans="1:6" ht="15">
      <c r="A31" s="35" t="s">
        <v>198</v>
      </c>
      <c r="B31" s="36">
        <v>376</v>
      </c>
      <c r="C31" s="31" t="s">
        <v>199</v>
      </c>
      <c r="D31" s="30" t="s">
        <v>200</v>
      </c>
      <c r="E31" s="3">
        <v>400</v>
      </c>
      <c r="F31" s="30" t="s">
        <v>9</v>
      </c>
    </row>
    <row r="32" spans="1:6" ht="14.45" customHeight="1">
      <c r="A32" s="35"/>
      <c r="B32" s="36"/>
      <c r="C32" s="33"/>
      <c r="D32" s="30" t="s">
        <v>201</v>
      </c>
      <c r="E32" s="3">
        <v>700</v>
      </c>
      <c r="F32" s="30" t="s">
        <v>9</v>
      </c>
    </row>
    <row r="33" spans="1:6" ht="14.45" customHeight="1">
      <c r="A33" s="35"/>
      <c r="B33" s="36"/>
      <c r="C33" s="33"/>
      <c r="D33" s="30" t="s">
        <v>202</v>
      </c>
      <c r="E33" s="3">
        <v>16</v>
      </c>
      <c r="F33" s="30" t="s">
        <v>13</v>
      </c>
    </row>
    <row r="34" spans="1:6" ht="14.45" customHeight="1">
      <c r="A34" s="35"/>
      <c r="B34" s="36"/>
      <c r="C34" s="33"/>
      <c r="D34" s="30" t="s">
        <v>181</v>
      </c>
      <c r="E34" s="3">
        <v>8</v>
      </c>
      <c r="F34" s="30" t="s">
        <v>13</v>
      </c>
    </row>
    <row r="35" spans="1:6" ht="14.45" customHeight="1">
      <c r="A35" s="35"/>
      <c r="B35" s="36"/>
      <c r="C35" s="33"/>
      <c r="D35" s="30" t="s">
        <v>162</v>
      </c>
      <c r="E35" s="3">
        <v>1</v>
      </c>
      <c r="F35" s="30" t="s">
        <v>13</v>
      </c>
    </row>
    <row r="36" spans="1:6" ht="14.45" customHeight="1">
      <c r="A36" s="35"/>
      <c r="B36" s="36"/>
      <c r="C36" s="33"/>
      <c r="D36" s="30" t="s">
        <v>14</v>
      </c>
      <c r="E36" s="3">
        <v>1</v>
      </c>
      <c r="F36" s="30" t="s">
        <v>13</v>
      </c>
    </row>
    <row r="37" spans="1:6" ht="14.45" customHeight="1">
      <c r="A37" s="35"/>
      <c r="B37" s="36"/>
      <c r="C37" s="33"/>
      <c r="D37" s="30" t="s">
        <v>203</v>
      </c>
      <c r="E37" s="3">
        <v>1</v>
      </c>
      <c r="F37" s="30" t="s">
        <v>13</v>
      </c>
    </row>
    <row r="38" spans="1:6" ht="14.45" customHeight="1">
      <c r="A38" s="35"/>
      <c r="B38" s="36"/>
      <c r="C38" s="33"/>
      <c r="D38" s="30" t="s">
        <v>15</v>
      </c>
      <c r="E38" s="3">
        <v>1</v>
      </c>
      <c r="F38" s="30" t="s">
        <v>13</v>
      </c>
    </row>
    <row r="39" spans="1:6" ht="14.45" customHeight="1">
      <c r="A39" s="35"/>
      <c r="B39" s="36"/>
      <c r="C39" s="33"/>
      <c r="D39" s="30" t="s">
        <v>51</v>
      </c>
      <c r="E39" s="3">
        <v>1</v>
      </c>
      <c r="F39" s="30" t="s">
        <v>13</v>
      </c>
    </row>
    <row r="40" spans="1:6" ht="14.45" customHeight="1">
      <c r="A40" s="35"/>
      <c r="B40" s="36"/>
      <c r="C40" s="34"/>
      <c r="D40" s="30" t="s">
        <v>16</v>
      </c>
      <c r="E40" s="3">
        <v>1</v>
      </c>
      <c r="F40" s="30" t="s">
        <v>13</v>
      </c>
    </row>
    <row r="41" spans="1:6" ht="15">
      <c r="A41" s="35" t="s">
        <v>204</v>
      </c>
      <c r="B41" s="36">
        <v>378</v>
      </c>
      <c r="C41" s="31" t="s">
        <v>205</v>
      </c>
      <c r="D41" s="30" t="s">
        <v>206</v>
      </c>
      <c r="E41" s="3">
        <v>9</v>
      </c>
      <c r="F41" s="30" t="s">
        <v>13</v>
      </c>
    </row>
    <row r="42" spans="1:6" ht="14.45" customHeight="1">
      <c r="A42" s="35"/>
      <c r="B42" s="36"/>
      <c r="C42" s="33"/>
      <c r="D42" s="30" t="s">
        <v>207</v>
      </c>
      <c r="E42" s="3">
        <v>2</v>
      </c>
      <c r="F42" s="30" t="s">
        <v>13</v>
      </c>
    </row>
    <row r="43" spans="1:6" ht="14.45" customHeight="1">
      <c r="A43" s="35"/>
      <c r="B43" s="36"/>
      <c r="C43" s="33"/>
      <c r="D43" s="30" t="s">
        <v>33</v>
      </c>
      <c r="E43" s="3">
        <v>2</v>
      </c>
      <c r="F43" s="30" t="s">
        <v>13</v>
      </c>
    </row>
    <row r="44" spans="1:6" ht="14.45" customHeight="1">
      <c r="A44" s="35"/>
      <c r="B44" s="36"/>
      <c r="C44" s="33"/>
      <c r="D44" s="30" t="s">
        <v>35</v>
      </c>
      <c r="E44" s="3">
        <v>1</v>
      </c>
      <c r="F44" s="30" t="s">
        <v>13</v>
      </c>
    </row>
    <row r="45" spans="1:6" ht="14.45" customHeight="1">
      <c r="A45" s="35"/>
      <c r="B45" s="36"/>
      <c r="C45" s="33"/>
      <c r="D45" s="30" t="s">
        <v>44</v>
      </c>
      <c r="E45" s="3">
        <v>1</v>
      </c>
      <c r="F45" s="30" t="s">
        <v>13</v>
      </c>
    </row>
    <row r="46" spans="1:6" ht="14.45" customHeight="1">
      <c r="A46" s="35"/>
      <c r="B46" s="36"/>
      <c r="C46" s="33"/>
      <c r="D46" s="30" t="s">
        <v>208</v>
      </c>
      <c r="E46" s="3">
        <v>10</v>
      </c>
      <c r="F46" s="30" t="s">
        <v>13</v>
      </c>
    </row>
    <row r="47" spans="1:6" ht="14.45" customHeight="1">
      <c r="A47" s="35"/>
      <c r="B47" s="36"/>
      <c r="C47" s="33"/>
      <c r="D47" s="30" t="s">
        <v>209</v>
      </c>
      <c r="E47" s="3">
        <v>4</v>
      </c>
      <c r="F47" s="30" t="s">
        <v>13</v>
      </c>
    </row>
    <row r="48" spans="1:6" ht="14.45" customHeight="1">
      <c r="A48" s="35"/>
      <c r="B48" s="36"/>
      <c r="C48" s="33"/>
      <c r="D48" s="30" t="s">
        <v>210</v>
      </c>
      <c r="E48" s="3">
        <v>125</v>
      </c>
      <c r="F48" s="30" t="s">
        <v>9</v>
      </c>
    </row>
    <row r="49" spans="1:6" ht="14.45" customHeight="1">
      <c r="A49" s="35"/>
      <c r="B49" s="36"/>
      <c r="C49" s="33"/>
      <c r="D49" s="30" t="s">
        <v>211</v>
      </c>
      <c r="E49" s="3">
        <v>200</v>
      </c>
      <c r="F49" s="30" t="s">
        <v>32</v>
      </c>
    </row>
    <row r="50" spans="1:6" ht="14.45" customHeight="1">
      <c r="A50" s="35"/>
      <c r="B50" s="36"/>
      <c r="C50" s="33"/>
      <c r="D50" s="30" t="s">
        <v>14</v>
      </c>
      <c r="E50" s="3">
        <v>1</v>
      </c>
      <c r="F50" s="30" t="s">
        <v>13</v>
      </c>
    </row>
    <row r="51" spans="1:6" ht="14.45" customHeight="1">
      <c r="A51" s="35"/>
      <c r="B51" s="36"/>
      <c r="C51" s="33"/>
      <c r="D51" s="30" t="s">
        <v>16</v>
      </c>
      <c r="E51" s="3">
        <v>1</v>
      </c>
      <c r="F51" s="30" t="s">
        <v>13</v>
      </c>
    </row>
    <row r="52" spans="1:6" ht="14.45" customHeight="1">
      <c r="A52" s="35"/>
      <c r="B52" s="36"/>
      <c r="C52" s="33"/>
      <c r="D52" s="30" t="s">
        <v>212</v>
      </c>
      <c r="E52" s="3">
        <v>1</v>
      </c>
      <c r="F52" s="30" t="s">
        <v>47</v>
      </c>
    </row>
    <row r="53" spans="1:6" ht="14.45" customHeight="1">
      <c r="A53" s="35"/>
      <c r="B53" s="36"/>
      <c r="C53" s="33"/>
      <c r="D53" s="30" t="s">
        <v>15</v>
      </c>
      <c r="E53" s="3">
        <v>1</v>
      </c>
      <c r="F53" s="30" t="s">
        <v>13</v>
      </c>
    </row>
    <row r="54" spans="1:6" ht="14.45" customHeight="1">
      <c r="A54" s="35"/>
      <c r="B54" s="36"/>
      <c r="C54" s="33"/>
      <c r="D54" s="30" t="s">
        <v>61</v>
      </c>
      <c r="E54" s="3">
        <v>50</v>
      </c>
      <c r="F54" s="30" t="s">
        <v>9</v>
      </c>
    </row>
    <row r="55" spans="1:6" ht="14.45" customHeight="1">
      <c r="A55" s="35"/>
      <c r="B55" s="36"/>
      <c r="C55" s="33"/>
      <c r="D55" s="30" t="s">
        <v>69</v>
      </c>
      <c r="E55" s="3">
        <v>700</v>
      </c>
      <c r="F55" s="30" t="s">
        <v>32</v>
      </c>
    </row>
    <row r="56" spans="1:6" ht="14.45" customHeight="1">
      <c r="A56" s="35"/>
      <c r="B56" s="36"/>
      <c r="C56" s="33"/>
      <c r="D56" s="30" t="s">
        <v>14</v>
      </c>
      <c r="E56" s="3">
        <v>2.5</v>
      </c>
      <c r="F56" s="30" t="s">
        <v>47</v>
      </c>
    </row>
    <row r="57" spans="1:6" ht="14.45" customHeight="1">
      <c r="A57" s="35"/>
      <c r="B57" s="36"/>
      <c r="C57" s="33"/>
      <c r="D57" s="30" t="s">
        <v>15</v>
      </c>
      <c r="E57" s="3">
        <v>1</v>
      </c>
      <c r="F57" s="30" t="s">
        <v>47</v>
      </c>
    </row>
    <row r="58" spans="1:6" ht="14.45" customHeight="1">
      <c r="A58" s="35"/>
      <c r="B58" s="36"/>
      <c r="C58" s="33"/>
      <c r="D58" s="30" t="s">
        <v>41</v>
      </c>
      <c r="E58" s="3">
        <v>1</v>
      </c>
      <c r="F58" s="30" t="s">
        <v>13</v>
      </c>
    </row>
    <row r="59" spans="1:6" ht="14.45" customHeight="1">
      <c r="A59" s="35"/>
      <c r="B59" s="36"/>
      <c r="C59" s="34"/>
      <c r="D59" s="30" t="s">
        <v>16</v>
      </c>
      <c r="E59" s="3">
        <v>1</v>
      </c>
      <c r="F59" s="30" t="s">
        <v>13</v>
      </c>
    </row>
    <row r="60" spans="1:6" ht="15">
      <c r="A60" s="35" t="s">
        <v>213</v>
      </c>
      <c r="B60" s="36">
        <v>382</v>
      </c>
      <c r="C60" s="31" t="s">
        <v>214</v>
      </c>
      <c r="D60" s="30" t="s">
        <v>215</v>
      </c>
      <c r="E60" s="3">
        <v>400</v>
      </c>
      <c r="F60" s="30" t="s">
        <v>9</v>
      </c>
    </row>
    <row r="61" spans="1:6" ht="14.45" customHeight="1">
      <c r="A61" s="35"/>
      <c r="B61" s="36"/>
      <c r="C61" s="33"/>
      <c r="D61" s="30" t="s">
        <v>216</v>
      </c>
      <c r="E61" s="3">
        <v>500</v>
      </c>
      <c r="F61" s="30" t="s">
        <v>9</v>
      </c>
    </row>
    <row r="62" spans="1:6" ht="14.45" customHeight="1">
      <c r="A62" s="35"/>
      <c r="B62" s="36"/>
      <c r="C62" s="33"/>
      <c r="D62" s="30" t="s">
        <v>12</v>
      </c>
      <c r="E62" s="3">
        <v>3</v>
      </c>
      <c r="F62" s="30" t="s">
        <v>13</v>
      </c>
    </row>
    <row r="63" spans="1:6" ht="14.45" customHeight="1">
      <c r="A63" s="35"/>
      <c r="B63" s="36"/>
      <c r="C63" s="33"/>
      <c r="D63" s="30" t="s">
        <v>217</v>
      </c>
      <c r="E63" s="3">
        <v>200</v>
      </c>
      <c r="F63" s="30" t="s">
        <v>32</v>
      </c>
    </row>
    <row r="64" spans="1:6" ht="14.45" customHeight="1">
      <c r="A64" s="35"/>
      <c r="B64" s="36"/>
      <c r="C64" s="33"/>
      <c r="D64" s="30" t="s">
        <v>196</v>
      </c>
      <c r="E64" s="3">
        <v>160</v>
      </c>
      <c r="F64" s="30" t="s">
        <v>9</v>
      </c>
    </row>
    <row r="65" spans="1:6" ht="14.45" customHeight="1">
      <c r="A65" s="35"/>
      <c r="B65" s="36"/>
      <c r="C65" s="33"/>
      <c r="D65" s="30" t="s">
        <v>75</v>
      </c>
      <c r="E65" s="3">
        <v>125</v>
      </c>
      <c r="F65" s="30" t="s">
        <v>9</v>
      </c>
    </row>
    <row r="66" spans="1:6" ht="14.45" customHeight="1">
      <c r="A66" s="35"/>
      <c r="B66" s="36"/>
      <c r="C66" s="33"/>
      <c r="D66" s="30" t="s">
        <v>14</v>
      </c>
      <c r="E66" s="3">
        <v>1</v>
      </c>
      <c r="F66" s="30" t="s">
        <v>13</v>
      </c>
    </row>
    <row r="67" spans="1:6" ht="14.45" customHeight="1">
      <c r="A67" s="35"/>
      <c r="B67" s="36"/>
      <c r="C67" s="33"/>
      <c r="D67" s="30" t="s">
        <v>15</v>
      </c>
      <c r="E67" s="3">
        <v>1</v>
      </c>
      <c r="F67" s="30" t="s">
        <v>13</v>
      </c>
    </row>
    <row r="68" spans="1:6" ht="14.45" customHeight="1">
      <c r="A68" s="35"/>
      <c r="B68" s="36"/>
      <c r="C68" s="33"/>
      <c r="D68" s="30" t="s">
        <v>51</v>
      </c>
      <c r="E68" s="3">
        <v>1</v>
      </c>
      <c r="F68" s="30" t="s">
        <v>13</v>
      </c>
    </row>
    <row r="69" spans="1:6" ht="14.45" customHeight="1">
      <c r="A69" s="35"/>
      <c r="B69" s="36"/>
      <c r="C69" s="34"/>
      <c r="D69" s="30" t="s">
        <v>16</v>
      </c>
      <c r="E69" s="3">
        <v>1</v>
      </c>
      <c r="F69" s="30" t="s">
        <v>13</v>
      </c>
    </row>
    <row r="70" spans="1:6" ht="15">
      <c r="A70" s="35" t="s">
        <v>218</v>
      </c>
      <c r="B70" s="36">
        <v>386</v>
      </c>
      <c r="C70" s="31" t="s">
        <v>219</v>
      </c>
      <c r="D70" s="30" t="s">
        <v>220</v>
      </c>
      <c r="E70" s="3">
        <v>320</v>
      </c>
      <c r="F70" s="30" t="s">
        <v>9</v>
      </c>
    </row>
    <row r="71" spans="1:6" ht="14.45" customHeight="1">
      <c r="A71" s="35"/>
      <c r="B71" s="36"/>
      <c r="C71" s="33"/>
      <c r="D71" s="30" t="s">
        <v>221</v>
      </c>
      <c r="E71" s="3">
        <v>400</v>
      </c>
      <c r="F71" s="30" t="s">
        <v>9</v>
      </c>
    </row>
    <row r="72" spans="1:6" ht="14.45" customHeight="1">
      <c r="A72" s="35"/>
      <c r="B72" s="36"/>
      <c r="C72" s="33"/>
      <c r="D72" s="30" t="s">
        <v>30</v>
      </c>
      <c r="E72" s="3">
        <v>0.5</v>
      </c>
      <c r="F72" s="30" t="s">
        <v>13</v>
      </c>
    </row>
    <row r="73" spans="1:6" ht="14.45" customHeight="1">
      <c r="A73" s="35"/>
      <c r="B73" s="36"/>
      <c r="C73" s="33"/>
      <c r="D73" s="30" t="s">
        <v>12</v>
      </c>
      <c r="E73" s="3">
        <v>2</v>
      </c>
      <c r="F73" s="30" t="s">
        <v>13</v>
      </c>
    </row>
    <row r="74" spans="1:6" ht="14.45" customHeight="1">
      <c r="A74" s="35"/>
      <c r="B74" s="36"/>
      <c r="C74" s="33"/>
      <c r="D74" s="30" t="s">
        <v>222</v>
      </c>
      <c r="E74" s="3">
        <v>3</v>
      </c>
      <c r="F74" s="30" t="s">
        <v>13</v>
      </c>
    </row>
    <row r="75" spans="1:6" ht="14.45" customHeight="1">
      <c r="A75" s="35"/>
      <c r="B75" s="36"/>
      <c r="C75" s="33"/>
      <c r="D75" s="30" t="s">
        <v>62</v>
      </c>
      <c r="E75" s="3">
        <v>50</v>
      </c>
      <c r="F75" s="30" t="s">
        <v>32</v>
      </c>
    </row>
    <row r="76" spans="1:6" ht="14.45" customHeight="1">
      <c r="A76" s="35"/>
      <c r="B76" s="36"/>
      <c r="C76" s="33"/>
      <c r="D76" s="30" t="s">
        <v>80</v>
      </c>
      <c r="E76" s="3">
        <v>60</v>
      </c>
      <c r="F76" s="30" t="s">
        <v>9</v>
      </c>
    </row>
    <row r="77" spans="1:6" ht="14.45" customHeight="1">
      <c r="A77" s="35"/>
      <c r="B77" s="36"/>
      <c r="C77" s="33"/>
      <c r="D77" s="30" t="s">
        <v>14</v>
      </c>
      <c r="E77" s="3">
        <v>1</v>
      </c>
      <c r="F77" s="30" t="s">
        <v>13</v>
      </c>
    </row>
    <row r="78" spans="1:6" ht="14.45" customHeight="1">
      <c r="A78" s="35"/>
      <c r="B78" s="36"/>
      <c r="C78" s="33"/>
      <c r="D78" s="30" t="s">
        <v>81</v>
      </c>
      <c r="E78" s="3">
        <v>1</v>
      </c>
      <c r="F78" s="30" t="s">
        <v>13</v>
      </c>
    </row>
    <row r="79" spans="1:6" ht="14.45" customHeight="1">
      <c r="A79" s="35"/>
      <c r="B79" s="36"/>
      <c r="C79" s="33"/>
      <c r="D79" s="30" t="s">
        <v>15</v>
      </c>
      <c r="E79" s="3">
        <v>1</v>
      </c>
      <c r="F79" s="30" t="s">
        <v>13</v>
      </c>
    </row>
    <row r="80" spans="1:6" ht="14.45" customHeight="1">
      <c r="A80" s="35"/>
      <c r="B80" s="36"/>
      <c r="C80" s="33"/>
      <c r="D80" s="30" t="s">
        <v>51</v>
      </c>
      <c r="E80" s="3">
        <v>1</v>
      </c>
      <c r="F80" s="30" t="s">
        <v>13</v>
      </c>
    </row>
    <row r="81" spans="1:11" ht="14.45" customHeight="1">
      <c r="A81" s="35"/>
      <c r="B81" s="36"/>
      <c r="C81" s="34"/>
      <c r="D81" s="30" t="s">
        <v>16</v>
      </c>
      <c r="E81" s="3">
        <v>1</v>
      </c>
      <c r="F81" s="30" t="s">
        <v>13</v>
      </c>
    </row>
    <row r="82" spans="1:11" ht="15">
      <c r="A82" s="35" t="s">
        <v>223</v>
      </c>
      <c r="B82" s="36">
        <v>387</v>
      </c>
      <c r="C82" s="31" t="s">
        <v>224</v>
      </c>
      <c r="D82" s="30" t="s">
        <v>225</v>
      </c>
      <c r="E82" s="3">
        <v>250</v>
      </c>
      <c r="F82" s="30" t="s">
        <v>9</v>
      </c>
    </row>
    <row r="83" spans="1:11" ht="14.45" customHeight="1">
      <c r="A83" s="35"/>
      <c r="B83" s="36"/>
      <c r="C83" s="33"/>
      <c r="D83" s="30" t="s">
        <v>226</v>
      </c>
      <c r="E83" s="3">
        <v>2</v>
      </c>
      <c r="F83" s="30" t="s">
        <v>13</v>
      </c>
    </row>
    <row r="84" spans="1:11" ht="14.45" customHeight="1">
      <c r="A84" s="35"/>
      <c r="B84" s="36"/>
      <c r="C84" s="33"/>
      <c r="D84" s="30" t="s">
        <v>24</v>
      </c>
      <c r="E84" s="3">
        <v>1</v>
      </c>
      <c r="F84" s="30" t="s">
        <v>13</v>
      </c>
    </row>
    <row r="85" spans="1:11" ht="14.45" customHeight="1">
      <c r="A85" s="35"/>
      <c r="B85" s="36"/>
      <c r="C85" s="33"/>
      <c r="D85" s="30" t="s">
        <v>34</v>
      </c>
      <c r="E85" s="3">
        <v>1</v>
      </c>
      <c r="F85" s="30" t="s">
        <v>13</v>
      </c>
    </row>
    <row r="86" spans="1:11" ht="14.45" customHeight="1">
      <c r="A86" s="35"/>
      <c r="B86" s="36"/>
      <c r="C86" s="33"/>
      <c r="D86" s="30" t="s">
        <v>211</v>
      </c>
      <c r="E86" s="3">
        <v>250</v>
      </c>
      <c r="F86" s="30" t="s">
        <v>32</v>
      </c>
    </row>
    <row r="87" spans="1:11" ht="14.45" customHeight="1">
      <c r="A87" s="35"/>
      <c r="B87" s="36"/>
      <c r="C87" s="33"/>
      <c r="D87" s="30" t="s">
        <v>74</v>
      </c>
      <c r="E87" s="3">
        <v>4</v>
      </c>
      <c r="F87" s="30" t="s">
        <v>13</v>
      </c>
    </row>
    <row r="88" spans="1:11" ht="14.45" customHeight="1">
      <c r="A88" s="35"/>
      <c r="B88" s="36"/>
      <c r="C88" s="33"/>
      <c r="D88" s="30" t="s">
        <v>217</v>
      </c>
      <c r="E88" s="3">
        <v>200</v>
      </c>
      <c r="F88" s="30" t="s">
        <v>32</v>
      </c>
    </row>
    <row r="89" spans="1:11" ht="14.45" customHeight="1">
      <c r="A89" s="35"/>
      <c r="B89" s="36"/>
      <c r="C89" s="33"/>
      <c r="D89" s="30" t="s">
        <v>227</v>
      </c>
      <c r="E89" s="3">
        <v>1</v>
      </c>
      <c r="F89" s="30" t="s">
        <v>13</v>
      </c>
    </row>
    <row r="90" spans="1:11" ht="14.45" customHeight="1">
      <c r="A90" s="35"/>
      <c r="B90" s="36"/>
      <c r="C90" s="33"/>
      <c r="D90" s="30" t="s">
        <v>80</v>
      </c>
      <c r="E90" s="3">
        <v>100</v>
      </c>
      <c r="F90" s="30" t="s">
        <v>9</v>
      </c>
    </row>
    <row r="91" spans="1:11" ht="14.45" customHeight="1">
      <c r="A91" s="35"/>
      <c r="B91" s="36"/>
      <c r="C91" s="33"/>
      <c r="D91" s="30" t="s">
        <v>14</v>
      </c>
      <c r="E91" s="3">
        <v>1</v>
      </c>
      <c r="F91" s="30" t="s">
        <v>13</v>
      </c>
    </row>
    <row r="92" spans="1:11" ht="14.45" customHeight="1">
      <c r="A92" s="35"/>
      <c r="B92" s="36"/>
      <c r="C92" s="33"/>
      <c r="D92" s="30" t="s">
        <v>203</v>
      </c>
      <c r="E92" s="3">
        <v>10</v>
      </c>
      <c r="F92" s="30" t="s">
        <v>13</v>
      </c>
    </row>
    <row r="93" spans="1:11" ht="14.45" customHeight="1">
      <c r="A93" s="35"/>
      <c r="B93" s="36"/>
      <c r="C93" s="33"/>
      <c r="D93" s="30" t="s">
        <v>15</v>
      </c>
      <c r="E93" s="3">
        <v>1</v>
      </c>
      <c r="F93" s="30" t="s">
        <v>13</v>
      </c>
    </row>
    <row r="94" spans="1:11" ht="14.45" customHeight="1">
      <c r="A94" s="35"/>
      <c r="B94" s="36"/>
      <c r="C94" s="33"/>
      <c r="D94" s="30" t="s">
        <v>51</v>
      </c>
      <c r="E94" s="3">
        <v>1</v>
      </c>
      <c r="F94" s="30" t="s">
        <v>13</v>
      </c>
    </row>
    <row r="95" spans="1:11" ht="14.45" customHeight="1">
      <c r="A95" s="35"/>
      <c r="B95" s="36"/>
      <c r="C95" s="34"/>
      <c r="D95" s="30" t="s">
        <v>16</v>
      </c>
      <c r="E95" s="3">
        <v>1</v>
      </c>
      <c r="F95" s="30" t="s">
        <v>13</v>
      </c>
    </row>
    <row r="96" spans="1:11" ht="15">
      <c r="A96" s="35" t="s">
        <v>228</v>
      </c>
      <c r="B96" s="36">
        <v>389</v>
      </c>
      <c r="C96" s="31" t="s">
        <v>229</v>
      </c>
      <c r="D96" s="30" t="s">
        <v>230</v>
      </c>
      <c r="E96" s="3">
        <v>400</v>
      </c>
      <c r="F96" s="30" t="s">
        <v>9</v>
      </c>
      <c r="I96" s="7"/>
      <c r="J96" s="8"/>
      <c r="K96" s="7"/>
    </row>
    <row r="97" spans="1:11" ht="14.45" customHeight="1">
      <c r="A97" s="35"/>
      <c r="B97" s="36"/>
      <c r="C97" s="33"/>
      <c r="D97" s="30" t="s">
        <v>147</v>
      </c>
      <c r="E97" s="3">
        <v>600</v>
      </c>
      <c r="F97" s="30" t="s">
        <v>9</v>
      </c>
      <c r="I97" s="7"/>
      <c r="J97" s="8"/>
      <c r="K97" s="7"/>
    </row>
    <row r="98" spans="1:11" ht="14.45" customHeight="1">
      <c r="A98" s="35"/>
      <c r="B98" s="36"/>
      <c r="C98" s="33"/>
      <c r="D98" s="30" t="s">
        <v>12</v>
      </c>
      <c r="E98" s="3">
        <v>3</v>
      </c>
      <c r="F98" s="30" t="s">
        <v>13</v>
      </c>
    </row>
    <row r="99" spans="1:11" ht="14.45" customHeight="1">
      <c r="A99" s="35"/>
      <c r="B99" s="36"/>
      <c r="C99" s="33"/>
      <c r="D99" s="30" t="s">
        <v>24</v>
      </c>
      <c r="E99" s="3">
        <v>2</v>
      </c>
      <c r="F99" s="30" t="s">
        <v>13</v>
      </c>
    </row>
    <row r="100" spans="1:11" ht="14.45" customHeight="1">
      <c r="A100" s="35"/>
      <c r="B100" s="36"/>
      <c r="C100" s="33"/>
      <c r="D100" s="30" t="s">
        <v>100</v>
      </c>
      <c r="E100" s="3">
        <v>3</v>
      </c>
      <c r="F100" s="30" t="s">
        <v>13</v>
      </c>
    </row>
    <row r="101" spans="1:11" ht="14.45" customHeight="1">
      <c r="A101" s="35"/>
      <c r="B101" s="36"/>
      <c r="C101" s="33"/>
      <c r="D101" s="30" t="s">
        <v>231</v>
      </c>
      <c r="E101" s="3">
        <v>40</v>
      </c>
      <c r="F101" s="30" t="s">
        <v>9</v>
      </c>
    </row>
    <row r="102" spans="1:11" ht="14.45" customHeight="1">
      <c r="A102" s="35"/>
      <c r="B102" s="36"/>
      <c r="C102" s="33"/>
      <c r="D102" s="30" t="s">
        <v>14</v>
      </c>
      <c r="E102" s="3">
        <v>1</v>
      </c>
      <c r="F102" s="30" t="s">
        <v>13</v>
      </c>
    </row>
    <row r="103" spans="1:11" ht="14.45" customHeight="1">
      <c r="A103" s="35"/>
      <c r="B103" s="36"/>
      <c r="C103" s="33"/>
      <c r="D103" s="30" t="s">
        <v>15</v>
      </c>
      <c r="E103" s="3">
        <v>1</v>
      </c>
      <c r="F103" s="30" t="s">
        <v>13</v>
      </c>
    </row>
    <row r="104" spans="1:11" ht="14.45" customHeight="1">
      <c r="A104" s="35"/>
      <c r="B104" s="36"/>
      <c r="C104" s="33"/>
      <c r="D104" s="30" t="s">
        <v>93</v>
      </c>
      <c r="E104" s="3">
        <v>0.5</v>
      </c>
      <c r="F104" s="30" t="s">
        <v>47</v>
      </c>
    </row>
    <row r="105" spans="1:11" ht="14.45" customHeight="1">
      <c r="A105" s="35"/>
      <c r="B105" s="36"/>
      <c r="C105" s="33"/>
      <c r="D105" s="30" t="s">
        <v>232</v>
      </c>
      <c r="E105" s="3">
        <v>0.5</v>
      </c>
      <c r="F105" s="30" t="s">
        <v>47</v>
      </c>
    </row>
    <row r="106" spans="1:11" ht="14.45" customHeight="1">
      <c r="A106" s="35"/>
      <c r="B106" s="36"/>
      <c r="C106" s="34"/>
      <c r="D106" s="30" t="s">
        <v>16</v>
      </c>
      <c r="E106" s="3">
        <v>1</v>
      </c>
      <c r="F106" s="30" t="s">
        <v>13</v>
      </c>
    </row>
    <row r="107" spans="1:11" ht="15">
      <c r="A107" s="35" t="s">
        <v>233</v>
      </c>
      <c r="B107" s="36">
        <v>390</v>
      </c>
      <c r="C107" s="31" t="s">
        <v>234</v>
      </c>
      <c r="D107" s="30" t="s">
        <v>235</v>
      </c>
      <c r="E107" s="3">
        <v>400</v>
      </c>
      <c r="F107" s="30" t="s">
        <v>9</v>
      </c>
    </row>
    <row r="108" spans="1:11" ht="14.45" customHeight="1">
      <c r="A108" s="35"/>
      <c r="B108" s="36"/>
      <c r="C108" s="33"/>
      <c r="D108" s="30" t="s">
        <v>73</v>
      </c>
      <c r="E108" s="3">
        <v>400</v>
      </c>
      <c r="F108" s="30" t="s">
        <v>9</v>
      </c>
    </row>
    <row r="109" spans="1:11" ht="14.45" customHeight="1">
      <c r="A109" s="35"/>
      <c r="B109" s="36"/>
      <c r="C109" s="33"/>
      <c r="D109" s="30" t="s">
        <v>210</v>
      </c>
      <c r="E109" s="3">
        <v>100</v>
      </c>
      <c r="F109" s="30" t="s">
        <v>9</v>
      </c>
    </row>
    <row r="110" spans="1:11" ht="14.45" customHeight="1">
      <c r="A110" s="35"/>
      <c r="B110" s="36"/>
      <c r="C110" s="33"/>
      <c r="D110" s="30" t="s">
        <v>139</v>
      </c>
      <c r="E110" s="3">
        <v>250</v>
      </c>
      <c r="F110" s="30" t="s">
        <v>9</v>
      </c>
    </row>
    <row r="111" spans="1:11" ht="14.45" customHeight="1">
      <c r="A111" s="35"/>
      <c r="B111" s="36"/>
      <c r="C111" s="33"/>
      <c r="D111" s="30" t="s">
        <v>12</v>
      </c>
      <c r="E111" s="3">
        <v>3</v>
      </c>
      <c r="F111" s="30" t="s">
        <v>13</v>
      </c>
    </row>
    <row r="112" spans="1:11" ht="14.45" customHeight="1">
      <c r="A112" s="35"/>
      <c r="B112" s="36"/>
      <c r="C112" s="33"/>
      <c r="D112" s="30" t="s">
        <v>207</v>
      </c>
      <c r="E112" s="3">
        <v>1</v>
      </c>
      <c r="F112" s="30" t="s">
        <v>13</v>
      </c>
    </row>
    <row r="113" spans="1:6" ht="14.45" customHeight="1">
      <c r="A113" s="35"/>
      <c r="B113" s="36"/>
      <c r="C113" s="33"/>
      <c r="D113" s="30" t="s">
        <v>211</v>
      </c>
      <c r="E113" s="3">
        <v>500</v>
      </c>
      <c r="F113" s="30" t="s">
        <v>32</v>
      </c>
    </row>
    <row r="114" spans="1:6" ht="14.45" customHeight="1">
      <c r="A114" s="35"/>
      <c r="B114" s="36"/>
      <c r="C114" s="33"/>
      <c r="D114" s="30" t="s">
        <v>14</v>
      </c>
      <c r="E114" s="3">
        <v>1</v>
      </c>
      <c r="F114" s="30" t="s">
        <v>13</v>
      </c>
    </row>
    <row r="115" spans="1:6" ht="14.45" customHeight="1">
      <c r="A115" s="35"/>
      <c r="B115" s="36"/>
      <c r="C115" s="33"/>
      <c r="D115" s="30" t="s">
        <v>81</v>
      </c>
      <c r="E115" s="3">
        <v>1</v>
      </c>
      <c r="F115" s="30" t="s">
        <v>13</v>
      </c>
    </row>
    <row r="116" spans="1:6" ht="14.45" customHeight="1">
      <c r="A116" s="35"/>
      <c r="B116" s="36"/>
      <c r="C116" s="33"/>
      <c r="D116" s="30" t="s">
        <v>15</v>
      </c>
      <c r="E116" s="3">
        <v>1</v>
      </c>
      <c r="F116" s="30" t="s">
        <v>13</v>
      </c>
    </row>
    <row r="117" spans="1:6" ht="14.45" customHeight="1">
      <c r="A117" s="35"/>
      <c r="B117" s="36"/>
      <c r="C117" s="34"/>
      <c r="D117" s="30" t="s">
        <v>16</v>
      </c>
      <c r="E117" s="3">
        <v>1</v>
      </c>
      <c r="F117" s="30" t="s">
        <v>13</v>
      </c>
    </row>
    <row r="118" spans="1:6" ht="15">
      <c r="A118" s="35" t="s">
        <v>236</v>
      </c>
      <c r="B118" s="36">
        <v>393</v>
      </c>
      <c r="C118" s="31" t="s">
        <v>237</v>
      </c>
      <c r="D118" s="30" t="s">
        <v>238</v>
      </c>
      <c r="E118" s="3">
        <v>400</v>
      </c>
      <c r="F118" s="30" t="s">
        <v>9</v>
      </c>
    </row>
    <row r="119" spans="1:6" ht="14.45" customHeight="1">
      <c r="A119" s="35"/>
      <c r="B119" s="36"/>
      <c r="C119" s="33"/>
      <c r="D119" s="30" t="s">
        <v>12</v>
      </c>
      <c r="E119" s="3">
        <v>4</v>
      </c>
      <c r="F119" s="30" t="s">
        <v>13</v>
      </c>
    </row>
    <row r="120" spans="1:6" ht="14.45" customHeight="1">
      <c r="A120" s="35"/>
      <c r="B120" s="36"/>
      <c r="C120" s="33"/>
      <c r="D120" s="30" t="s">
        <v>73</v>
      </c>
      <c r="E120" s="3">
        <v>150</v>
      </c>
      <c r="F120" s="30" t="s">
        <v>9</v>
      </c>
    </row>
    <row r="121" spans="1:6" ht="14.45" customHeight="1">
      <c r="A121" s="35"/>
      <c r="B121" s="36"/>
      <c r="C121" s="33"/>
      <c r="D121" s="30" t="s">
        <v>239</v>
      </c>
      <c r="E121" s="3">
        <v>4</v>
      </c>
      <c r="F121" s="30" t="s">
        <v>13</v>
      </c>
    </row>
    <row r="122" spans="1:6" ht="14.45" customHeight="1">
      <c r="A122" s="35"/>
      <c r="B122" s="36"/>
      <c r="C122" s="33"/>
      <c r="D122" s="30" t="s">
        <v>80</v>
      </c>
      <c r="E122" s="3">
        <v>100</v>
      </c>
      <c r="F122" s="30" t="s">
        <v>9</v>
      </c>
    </row>
    <row r="123" spans="1:6" ht="14.45" customHeight="1">
      <c r="A123" s="35"/>
      <c r="B123" s="36"/>
      <c r="C123" s="33"/>
      <c r="D123" s="30" t="s">
        <v>14</v>
      </c>
      <c r="E123" s="3">
        <v>1</v>
      </c>
      <c r="F123" s="30" t="s">
        <v>13</v>
      </c>
    </row>
    <row r="124" spans="1:6" ht="14.45" customHeight="1">
      <c r="A124" s="35"/>
      <c r="B124" s="36"/>
      <c r="C124" s="33"/>
      <c r="D124" s="30" t="s">
        <v>203</v>
      </c>
      <c r="E124" s="3">
        <v>20</v>
      </c>
      <c r="F124" s="30" t="s">
        <v>13</v>
      </c>
    </row>
    <row r="125" spans="1:6" ht="14.45" customHeight="1">
      <c r="A125" s="35"/>
      <c r="B125" s="36"/>
      <c r="C125" s="33"/>
      <c r="D125" s="30" t="s">
        <v>15</v>
      </c>
      <c r="E125" s="3">
        <v>1</v>
      </c>
      <c r="F125" s="30" t="s">
        <v>13</v>
      </c>
    </row>
    <row r="126" spans="1:6" ht="14.45" customHeight="1">
      <c r="A126" s="35"/>
      <c r="B126" s="36"/>
      <c r="C126" s="33"/>
      <c r="D126" s="30" t="s">
        <v>51</v>
      </c>
      <c r="E126" s="3">
        <v>1</v>
      </c>
      <c r="F126" s="30" t="s">
        <v>13</v>
      </c>
    </row>
    <row r="127" spans="1:6" ht="14.45" customHeight="1">
      <c r="A127" s="35"/>
      <c r="B127" s="36"/>
      <c r="C127" s="34"/>
      <c r="D127" s="30" t="s">
        <v>16</v>
      </c>
      <c r="E127" s="3">
        <v>1</v>
      </c>
      <c r="F127" s="30" t="s">
        <v>13</v>
      </c>
    </row>
    <row r="128" spans="1:6" ht="15">
      <c r="A128" s="35" t="s">
        <v>240</v>
      </c>
      <c r="B128" s="36">
        <v>394</v>
      </c>
      <c r="C128" s="31" t="s">
        <v>241</v>
      </c>
      <c r="D128" s="30" t="s">
        <v>242</v>
      </c>
      <c r="E128" s="3">
        <v>16</v>
      </c>
      <c r="F128" s="30" t="s">
        <v>13</v>
      </c>
    </row>
    <row r="129" spans="1:6" ht="14.45" customHeight="1">
      <c r="A129" s="35"/>
      <c r="B129" s="36"/>
      <c r="C129" s="33"/>
      <c r="D129" s="30" t="s">
        <v>243</v>
      </c>
      <c r="E129" s="3">
        <v>400</v>
      </c>
      <c r="F129" s="30" t="s">
        <v>9</v>
      </c>
    </row>
    <row r="130" spans="1:6" ht="14.45" customHeight="1">
      <c r="A130" s="35"/>
      <c r="B130" s="36"/>
      <c r="C130" s="33"/>
      <c r="D130" s="30" t="s">
        <v>23</v>
      </c>
      <c r="E130" s="3">
        <v>2</v>
      </c>
      <c r="F130" s="30" t="s">
        <v>13</v>
      </c>
    </row>
    <row r="131" spans="1:6" ht="14.45" customHeight="1">
      <c r="A131" s="35"/>
      <c r="B131" s="36"/>
      <c r="C131" s="33"/>
      <c r="D131" s="30" t="s">
        <v>33</v>
      </c>
      <c r="E131" s="3">
        <v>2</v>
      </c>
      <c r="F131" s="30" t="s">
        <v>13</v>
      </c>
    </row>
    <row r="132" spans="1:6" ht="14.45" customHeight="1">
      <c r="A132" s="35"/>
      <c r="B132" s="36"/>
      <c r="C132" s="33"/>
      <c r="D132" s="30" t="s">
        <v>211</v>
      </c>
      <c r="E132" s="3">
        <v>150</v>
      </c>
      <c r="F132" s="30" t="s">
        <v>32</v>
      </c>
    </row>
    <row r="133" spans="1:6" ht="14.45" customHeight="1">
      <c r="A133" s="35"/>
      <c r="B133" s="36"/>
      <c r="C133" s="33"/>
      <c r="D133" s="30" t="s">
        <v>61</v>
      </c>
      <c r="E133" s="3">
        <v>60</v>
      </c>
      <c r="F133" s="30" t="s">
        <v>9</v>
      </c>
    </row>
    <row r="134" spans="1:6" ht="14.45" customHeight="1">
      <c r="A134" s="35"/>
      <c r="B134" s="36"/>
      <c r="C134" s="33"/>
      <c r="D134" s="30" t="s">
        <v>69</v>
      </c>
      <c r="E134" s="3">
        <v>300</v>
      </c>
      <c r="F134" s="30" t="s">
        <v>32</v>
      </c>
    </row>
    <row r="135" spans="1:6" ht="14.45" customHeight="1">
      <c r="A135" s="35"/>
      <c r="B135" s="36"/>
      <c r="C135" s="33"/>
      <c r="D135" s="30" t="s">
        <v>244</v>
      </c>
      <c r="E135" s="3">
        <v>400</v>
      </c>
      <c r="F135" s="30" t="s">
        <v>32</v>
      </c>
    </row>
    <row r="136" spans="1:6" ht="14.45" customHeight="1">
      <c r="A136" s="35"/>
      <c r="B136" s="36"/>
      <c r="C136" s="33"/>
      <c r="D136" s="30" t="s">
        <v>80</v>
      </c>
      <c r="E136" s="3">
        <v>80</v>
      </c>
      <c r="F136" s="30" t="s">
        <v>9</v>
      </c>
    </row>
    <row r="137" spans="1:6" ht="14.45" customHeight="1">
      <c r="A137" s="35"/>
      <c r="B137" s="36"/>
      <c r="C137" s="33"/>
      <c r="D137" s="30" t="s">
        <v>14</v>
      </c>
      <c r="E137" s="3">
        <v>1</v>
      </c>
      <c r="F137" s="30" t="s">
        <v>13</v>
      </c>
    </row>
    <row r="138" spans="1:6" ht="14.45" customHeight="1">
      <c r="A138" s="35"/>
      <c r="B138" s="36"/>
      <c r="C138" s="33"/>
      <c r="D138" s="30" t="s">
        <v>15</v>
      </c>
      <c r="E138" s="3">
        <v>1</v>
      </c>
      <c r="F138" s="30" t="s">
        <v>13</v>
      </c>
    </row>
    <row r="139" spans="1:6" ht="14.45" customHeight="1">
      <c r="A139" s="35"/>
      <c r="B139" s="36"/>
      <c r="C139" s="34"/>
      <c r="D139" s="30" t="s">
        <v>16</v>
      </c>
      <c r="E139" s="3">
        <v>1</v>
      </c>
      <c r="F139" s="30" t="s">
        <v>13</v>
      </c>
    </row>
    <row r="140" spans="1:6" ht="15">
      <c r="A140" s="35" t="s">
        <v>245</v>
      </c>
      <c r="B140" s="36">
        <v>394</v>
      </c>
      <c r="C140" s="31" t="s">
        <v>246</v>
      </c>
      <c r="D140" s="30" t="s">
        <v>235</v>
      </c>
      <c r="E140" s="3">
        <v>300</v>
      </c>
      <c r="F140" s="30" t="s">
        <v>9</v>
      </c>
    </row>
    <row r="141" spans="1:6" ht="14.45" customHeight="1">
      <c r="A141" s="35"/>
      <c r="B141" s="36"/>
      <c r="C141" s="33"/>
      <c r="D141" s="30" t="s">
        <v>247</v>
      </c>
      <c r="E141" s="3">
        <v>100</v>
      </c>
      <c r="F141" s="30" t="s">
        <v>9</v>
      </c>
    </row>
    <row r="142" spans="1:6" ht="14.45" customHeight="1">
      <c r="A142" s="35"/>
      <c r="B142" s="36"/>
      <c r="C142" s="33"/>
      <c r="D142" s="30" t="s">
        <v>73</v>
      </c>
      <c r="E142" s="3">
        <v>100</v>
      </c>
      <c r="F142" s="30" t="s">
        <v>9</v>
      </c>
    </row>
    <row r="143" spans="1:6" ht="14.45" customHeight="1">
      <c r="A143" s="35"/>
      <c r="B143" s="36"/>
      <c r="C143" s="33"/>
      <c r="D143" s="30" t="s">
        <v>12</v>
      </c>
      <c r="E143" s="3">
        <v>2</v>
      </c>
      <c r="F143" s="30" t="s">
        <v>13</v>
      </c>
    </row>
    <row r="144" spans="1:6" ht="14.45" customHeight="1">
      <c r="A144" s="35"/>
      <c r="B144" s="36"/>
      <c r="C144" s="33"/>
      <c r="D144" s="30" t="s">
        <v>14</v>
      </c>
      <c r="E144" s="3">
        <v>1</v>
      </c>
      <c r="F144" s="30" t="s">
        <v>13</v>
      </c>
    </row>
    <row r="145" spans="1:6" ht="14.45" customHeight="1">
      <c r="A145" s="35"/>
      <c r="B145" s="36"/>
      <c r="C145" s="33"/>
      <c r="D145" s="30" t="s">
        <v>15</v>
      </c>
      <c r="E145" s="3">
        <v>1</v>
      </c>
      <c r="F145" s="30" t="s">
        <v>13</v>
      </c>
    </row>
    <row r="146" spans="1:6" ht="14.45" customHeight="1">
      <c r="A146" s="35"/>
      <c r="B146" s="36"/>
      <c r="C146" s="33"/>
      <c r="D146" s="30" t="s">
        <v>248</v>
      </c>
      <c r="E146" s="3">
        <v>1</v>
      </c>
      <c r="F146" s="30" t="s">
        <v>13</v>
      </c>
    </row>
    <row r="147" spans="1:6" ht="14.45" customHeight="1">
      <c r="A147" s="35"/>
      <c r="B147" s="36"/>
      <c r="C147" s="34"/>
      <c r="D147" s="30" t="s">
        <v>16</v>
      </c>
      <c r="E147" s="3">
        <v>1</v>
      </c>
      <c r="F147" s="30" t="s">
        <v>13</v>
      </c>
    </row>
    <row r="148" spans="1:6" ht="15"/>
  </sheetData>
  <mergeCells count="36">
    <mergeCell ref="A2:A21"/>
    <mergeCell ref="A22:A30"/>
    <mergeCell ref="B2:B21"/>
    <mergeCell ref="B22:B30"/>
    <mergeCell ref="B41:B59"/>
    <mergeCell ref="A41:A59"/>
    <mergeCell ref="A31:A40"/>
    <mergeCell ref="B31:B40"/>
    <mergeCell ref="B128:B139"/>
    <mergeCell ref="A128:A139"/>
    <mergeCell ref="B140:B147"/>
    <mergeCell ref="A140:A147"/>
    <mergeCell ref="B60:B69"/>
    <mergeCell ref="A70:A81"/>
    <mergeCell ref="B70:B81"/>
    <mergeCell ref="B82:B95"/>
    <mergeCell ref="A82:A95"/>
    <mergeCell ref="B96:B106"/>
    <mergeCell ref="A96:A106"/>
    <mergeCell ref="B107:B117"/>
    <mergeCell ref="B118:B127"/>
    <mergeCell ref="A118:A127"/>
    <mergeCell ref="A107:A117"/>
    <mergeCell ref="A60:A69"/>
    <mergeCell ref="C2:C21"/>
    <mergeCell ref="C22:C30"/>
    <mergeCell ref="C31:C40"/>
    <mergeCell ref="C41:C59"/>
    <mergeCell ref="C60:C69"/>
    <mergeCell ref="C128:C139"/>
    <mergeCell ref="C140:C147"/>
    <mergeCell ref="C70:C81"/>
    <mergeCell ref="C82:C95"/>
    <mergeCell ref="C96:C106"/>
    <mergeCell ref="C107:C117"/>
    <mergeCell ref="C118:C127"/>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0F82031-06AF-4610-869E-49E4A07638EE}">
          <x14:formula1>
            <xm:f>Otros!$B$3:$B$6</xm:f>
          </x14:formula1>
          <xm:sqref>K96:K97 F2:F152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87E52-34BE-4D32-89D2-293A571DE9C0}">
  <dimension ref="A1:F217"/>
  <sheetViews>
    <sheetView workbookViewId="0">
      <pane ySplit="1" topLeftCell="A201" activePane="bottomLeft" state="frozen"/>
      <selection pane="bottomLeft" activeCell="D220" sqref="D220"/>
      <selection activeCell="B2" sqref="B2:B28"/>
    </sheetView>
  </sheetViews>
  <sheetFormatPr defaultColWidth="11.5703125" defaultRowHeight="14.45"/>
  <cols>
    <col min="1" max="1" width="44" style="6" bestFit="1" customWidth="1"/>
    <col min="2" max="3" width="10.28515625" style="7" customWidth="1"/>
    <col min="4" max="4" width="22.140625" style="7" bestFit="1" customWidth="1"/>
    <col min="5" max="5" width="11.5703125" style="8"/>
    <col min="6" max="6" width="11.5703125" style="7"/>
    <col min="7" max="16384" width="11.5703125" style="9"/>
  </cols>
  <sheetData>
    <row r="1" spans="1:6" ht="15">
      <c r="A1" s="30" t="str">
        <f>Sopas!A1</f>
        <v>Plato</v>
      </c>
      <c r="B1" s="30" t="s">
        <v>1</v>
      </c>
      <c r="C1" s="30" t="s">
        <v>2</v>
      </c>
      <c r="D1" s="30" t="str">
        <f>Sopas!D1</f>
        <v>Ingredientes</v>
      </c>
      <c r="E1" s="3" t="str">
        <f>Sopas!E1</f>
        <v>Cantidades</v>
      </c>
      <c r="F1" s="30" t="str">
        <f>Sopas!F1</f>
        <v>Unidades</v>
      </c>
    </row>
    <row r="2" spans="1:6" ht="14.45" customHeight="1">
      <c r="A2" s="35" t="s">
        <v>249</v>
      </c>
      <c r="B2" s="36">
        <v>400</v>
      </c>
      <c r="C2" s="31" t="s">
        <v>250</v>
      </c>
      <c r="D2" s="30" t="s">
        <v>251</v>
      </c>
      <c r="E2" s="3">
        <v>700</v>
      </c>
      <c r="F2" s="30" t="s">
        <v>9</v>
      </c>
    </row>
    <row r="3" spans="1:6" ht="14.45" customHeight="1">
      <c r="A3" s="35"/>
      <c r="B3" s="36"/>
      <c r="C3" s="33"/>
      <c r="D3" s="30" t="s">
        <v>201</v>
      </c>
      <c r="E3" s="3">
        <v>700</v>
      </c>
      <c r="F3" s="30" t="s">
        <v>9</v>
      </c>
    </row>
    <row r="4" spans="1:6" ht="14.45" customHeight="1">
      <c r="A4" s="35"/>
      <c r="B4" s="36"/>
      <c r="C4" s="33"/>
      <c r="D4" s="30" t="s">
        <v>60</v>
      </c>
      <c r="E4" s="3">
        <v>4</v>
      </c>
      <c r="F4" s="30" t="s">
        <v>13</v>
      </c>
    </row>
    <row r="5" spans="1:6" ht="14.45" customHeight="1">
      <c r="A5" s="35"/>
      <c r="B5" s="36"/>
      <c r="C5" s="33"/>
      <c r="D5" s="30" t="s">
        <v>11</v>
      </c>
      <c r="E5" s="3">
        <v>50</v>
      </c>
      <c r="F5" s="30" t="s">
        <v>9</v>
      </c>
    </row>
    <row r="6" spans="1:6" ht="14.45" customHeight="1">
      <c r="A6" s="35"/>
      <c r="B6" s="36"/>
      <c r="C6" s="33"/>
      <c r="D6" s="30" t="s">
        <v>62</v>
      </c>
      <c r="E6" s="3">
        <v>150</v>
      </c>
      <c r="F6" s="30" t="s">
        <v>32</v>
      </c>
    </row>
    <row r="7" spans="1:6" ht="14.45" customHeight="1">
      <c r="A7" s="35"/>
      <c r="B7" s="36"/>
      <c r="C7" s="33"/>
      <c r="D7" s="30" t="s">
        <v>69</v>
      </c>
      <c r="E7" s="3">
        <v>125</v>
      </c>
      <c r="F7" s="30" t="s">
        <v>32</v>
      </c>
    </row>
    <row r="8" spans="1:6" ht="14.45" customHeight="1">
      <c r="A8" s="35"/>
      <c r="B8" s="36"/>
      <c r="C8" s="33"/>
      <c r="D8" s="30" t="s">
        <v>12</v>
      </c>
      <c r="E8" s="3">
        <v>2</v>
      </c>
      <c r="F8" s="30" t="s">
        <v>13</v>
      </c>
    </row>
    <row r="9" spans="1:6" ht="14.45" customHeight="1">
      <c r="A9" s="35"/>
      <c r="B9" s="36"/>
      <c r="C9" s="33"/>
      <c r="D9" s="30" t="s">
        <v>239</v>
      </c>
      <c r="E9" s="3">
        <v>1</v>
      </c>
      <c r="F9" s="30" t="s">
        <v>13</v>
      </c>
    </row>
    <row r="10" spans="1:6" ht="14.45" customHeight="1">
      <c r="A10" s="35"/>
      <c r="B10" s="36"/>
      <c r="C10" s="33"/>
      <c r="D10" s="30" t="s">
        <v>61</v>
      </c>
      <c r="E10" s="3">
        <v>1</v>
      </c>
      <c r="F10" s="30" t="s">
        <v>13</v>
      </c>
    </row>
    <row r="11" spans="1:6" ht="14.45" customHeight="1">
      <c r="A11" s="35"/>
      <c r="B11" s="36"/>
      <c r="C11" s="33"/>
      <c r="D11" s="30" t="s">
        <v>14</v>
      </c>
      <c r="E11" s="3">
        <v>1</v>
      </c>
      <c r="F11" s="30" t="s">
        <v>13</v>
      </c>
    </row>
    <row r="12" spans="1:6" ht="14.45" customHeight="1">
      <c r="A12" s="35"/>
      <c r="B12" s="36"/>
      <c r="C12" s="33"/>
      <c r="D12" s="30" t="s">
        <v>15</v>
      </c>
      <c r="E12" s="3">
        <v>1</v>
      </c>
      <c r="F12" s="30" t="s">
        <v>13</v>
      </c>
    </row>
    <row r="13" spans="1:6" ht="14.45" customHeight="1">
      <c r="A13" s="35"/>
      <c r="B13" s="36"/>
      <c r="C13" s="33"/>
      <c r="D13" s="30" t="s">
        <v>51</v>
      </c>
      <c r="E13" s="3">
        <v>1</v>
      </c>
      <c r="F13" s="30" t="s">
        <v>13</v>
      </c>
    </row>
    <row r="14" spans="1:6" ht="14.45" customHeight="1">
      <c r="A14" s="35"/>
      <c r="B14" s="36"/>
      <c r="C14" s="34"/>
      <c r="D14" s="30" t="s">
        <v>16</v>
      </c>
      <c r="E14" s="3">
        <v>1</v>
      </c>
      <c r="F14" s="30" t="s">
        <v>13</v>
      </c>
    </row>
    <row r="15" spans="1:6" ht="15">
      <c r="A15" s="35" t="s">
        <v>252</v>
      </c>
      <c r="B15" s="36">
        <v>402</v>
      </c>
      <c r="C15" s="31" t="s">
        <v>253</v>
      </c>
      <c r="D15" s="30" t="s">
        <v>251</v>
      </c>
      <c r="E15" s="3">
        <v>700</v>
      </c>
      <c r="F15" s="30" t="s">
        <v>9</v>
      </c>
    </row>
    <row r="16" spans="1:6" ht="14.45" customHeight="1">
      <c r="A16" s="35"/>
      <c r="B16" s="36"/>
      <c r="C16" s="33"/>
      <c r="D16" s="30" t="s">
        <v>11</v>
      </c>
      <c r="E16" s="3">
        <v>100</v>
      </c>
      <c r="F16" s="30" t="s">
        <v>9</v>
      </c>
    </row>
    <row r="17" spans="1:6" ht="14.45" customHeight="1">
      <c r="A17" s="35"/>
      <c r="B17" s="36"/>
      <c r="C17" s="33"/>
      <c r="D17" s="30" t="s">
        <v>69</v>
      </c>
      <c r="E17" s="3">
        <v>200</v>
      </c>
      <c r="F17" s="30" t="s">
        <v>32</v>
      </c>
    </row>
    <row r="18" spans="1:6" ht="14.45" customHeight="1">
      <c r="A18" s="35"/>
      <c r="B18" s="36"/>
      <c r="C18" s="33"/>
      <c r="D18" s="30" t="s">
        <v>12</v>
      </c>
      <c r="E18" s="3">
        <v>3</v>
      </c>
      <c r="F18" s="30" t="s">
        <v>13</v>
      </c>
    </row>
    <row r="19" spans="1:6" ht="14.45" customHeight="1">
      <c r="A19" s="35"/>
      <c r="B19" s="36"/>
      <c r="C19" s="33"/>
      <c r="D19" s="30" t="s">
        <v>239</v>
      </c>
      <c r="E19" s="3">
        <v>2</v>
      </c>
      <c r="F19" s="30" t="s">
        <v>13</v>
      </c>
    </row>
    <row r="20" spans="1:6" ht="14.45" customHeight="1">
      <c r="A20" s="35"/>
      <c r="B20" s="36"/>
      <c r="C20" s="33"/>
      <c r="D20" s="30" t="s">
        <v>115</v>
      </c>
      <c r="E20" s="3">
        <v>0.5</v>
      </c>
      <c r="F20" s="30" t="s">
        <v>13</v>
      </c>
    </row>
    <row r="21" spans="1:6" ht="14.45" customHeight="1">
      <c r="A21" s="35"/>
      <c r="B21" s="36"/>
      <c r="C21" s="33"/>
      <c r="D21" s="30" t="s">
        <v>61</v>
      </c>
      <c r="E21" s="3">
        <v>1</v>
      </c>
      <c r="F21" s="30" t="s">
        <v>13</v>
      </c>
    </row>
    <row r="22" spans="1:6" ht="14.45" customHeight="1">
      <c r="A22" s="35"/>
      <c r="B22" s="36"/>
      <c r="C22" s="33"/>
      <c r="D22" s="30" t="s">
        <v>14</v>
      </c>
      <c r="E22" s="3">
        <v>1</v>
      </c>
      <c r="F22" s="30" t="s">
        <v>13</v>
      </c>
    </row>
    <row r="23" spans="1:6" ht="14.45" customHeight="1">
      <c r="A23" s="35"/>
      <c r="B23" s="36"/>
      <c r="C23" s="33"/>
      <c r="D23" s="30" t="s">
        <v>15</v>
      </c>
      <c r="E23" s="3">
        <v>1</v>
      </c>
      <c r="F23" s="30" t="s">
        <v>13</v>
      </c>
    </row>
    <row r="24" spans="1:6" ht="14.45" customHeight="1">
      <c r="A24" s="35"/>
      <c r="B24" s="36"/>
      <c r="C24" s="33"/>
      <c r="D24" s="30" t="s">
        <v>51</v>
      </c>
      <c r="E24" s="3">
        <v>1</v>
      </c>
      <c r="F24" s="30" t="s">
        <v>13</v>
      </c>
    </row>
    <row r="25" spans="1:6" ht="14.45" customHeight="1">
      <c r="A25" s="35"/>
      <c r="B25" s="36"/>
      <c r="C25" s="33"/>
      <c r="D25" s="30" t="s">
        <v>16</v>
      </c>
      <c r="E25" s="3">
        <v>1</v>
      </c>
      <c r="F25" s="30" t="s">
        <v>13</v>
      </c>
    </row>
    <row r="26" spans="1:6" ht="14.45" customHeight="1">
      <c r="A26" s="35"/>
      <c r="B26" s="36"/>
      <c r="C26" s="33"/>
      <c r="D26" s="30" t="s">
        <v>254</v>
      </c>
      <c r="E26" s="3">
        <v>150</v>
      </c>
      <c r="F26" s="30" t="s">
        <v>9</v>
      </c>
    </row>
    <row r="27" spans="1:6" ht="14.45" customHeight="1">
      <c r="A27" s="35"/>
      <c r="B27" s="36"/>
      <c r="C27" s="33"/>
      <c r="D27" s="30" t="s">
        <v>24</v>
      </c>
      <c r="E27" s="3">
        <v>1</v>
      </c>
      <c r="F27" s="30" t="s">
        <v>13</v>
      </c>
    </row>
    <row r="28" spans="1:6" ht="14.45" customHeight="1">
      <c r="A28" s="35"/>
      <c r="B28" s="36"/>
      <c r="C28" s="33"/>
      <c r="D28" s="30" t="s">
        <v>222</v>
      </c>
      <c r="E28" s="3">
        <v>2</v>
      </c>
      <c r="F28" s="30" t="s">
        <v>13</v>
      </c>
    </row>
    <row r="29" spans="1:6" ht="14.45" customHeight="1">
      <c r="A29" s="35"/>
      <c r="B29" s="36"/>
      <c r="C29" s="33"/>
      <c r="D29" s="30" t="s">
        <v>62</v>
      </c>
      <c r="E29" s="3">
        <v>100</v>
      </c>
      <c r="F29" s="30" t="s">
        <v>32</v>
      </c>
    </row>
    <row r="30" spans="1:6" ht="14.45" customHeight="1">
      <c r="A30" s="35"/>
      <c r="B30" s="36"/>
      <c r="C30" s="33"/>
      <c r="D30" s="30" t="s">
        <v>255</v>
      </c>
      <c r="E30" s="3">
        <v>1</v>
      </c>
      <c r="F30" s="30" t="s">
        <v>13</v>
      </c>
    </row>
    <row r="31" spans="1:6" ht="14.45" customHeight="1">
      <c r="A31" s="35"/>
      <c r="B31" s="36"/>
      <c r="C31" s="33"/>
      <c r="D31" s="30" t="s">
        <v>86</v>
      </c>
      <c r="E31" s="3">
        <v>1</v>
      </c>
      <c r="F31" s="30" t="s">
        <v>13</v>
      </c>
    </row>
    <row r="32" spans="1:6" ht="14.45" customHeight="1">
      <c r="A32" s="35"/>
      <c r="B32" s="36"/>
      <c r="C32" s="33"/>
      <c r="D32" s="30" t="s">
        <v>57</v>
      </c>
      <c r="E32" s="3">
        <v>1</v>
      </c>
      <c r="F32" s="30" t="s">
        <v>47</v>
      </c>
    </row>
    <row r="33" spans="1:6" ht="14.45" customHeight="1">
      <c r="A33" s="35"/>
      <c r="B33" s="36"/>
      <c r="C33" s="33"/>
      <c r="D33" s="30" t="s">
        <v>51</v>
      </c>
      <c r="E33" s="3">
        <v>0.5</v>
      </c>
      <c r="F33" s="30" t="s">
        <v>47</v>
      </c>
    </row>
    <row r="34" spans="1:6" ht="14.45" customHeight="1">
      <c r="A34" s="35"/>
      <c r="B34" s="36"/>
      <c r="C34" s="33"/>
      <c r="D34" s="30" t="s">
        <v>256</v>
      </c>
      <c r="E34" s="3">
        <v>1</v>
      </c>
      <c r="F34" s="30" t="s">
        <v>47</v>
      </c>
    </row>
    <row r="35" spans="1:6" ht="14.45" customHeight="1">
      <c r="A35" s="35"/>
      <c r="B35" s="36"/>
      <c r="C35" s="34"/>
      <c r="D35" s="30" t="s">
        <v>16</v>
      </c>
      <c r="E35" s="3">
        <v>1</v>
      </c>
      <c r="F35" s="30" t="s">
        <v>13</v>
      </c>
    </row>
    <row r="36" spans="1:6" ht="15">
      <c r="A36" s="35" t="s">
        <v>257</v>
      </c>
      <c r="B36" s="36">
        <v>404</v>
      </c>
      <c r="C36" s="31" t="s">
        <v>258</v>
      </c>
      <c r="D36" s="30" t="s">
        <v>259</v>
      </c>
      <c r="E36" s="3">
        <v>1</v>
      </c>
      <c r="F36" s="30" t="s">
        <v>13</v>
      </c>
    </row>
    <row r="37" spans="1:6" ht="14.45" customHeight="1">
      <c r="A37" s="35"/>
      <c r="B37" s="36"/>
      <c r="C37" s="33"/>
      <c r="D37" s="30" t="s">
        <v>169</v>
      </c>
      <c r="E37" s="3">
        <v>6</v>
      </c>
      <c r="F37" s="30" t="s">
        <v>13</v>
      </c>
    </row>
    <row r="38" spans="1:6" ht="14.45" customHeight="1">
      <c r="A38" s="35"/>
      <c r="B38" s="36"/>
      <c r="C38" s="33"/>
      <c r="D38" s="30" t="s">
        <v>74</v>
      </c>
      <c r="E38" s="3">
        <v>3</v>
      </c>
      <c r="F38" s="30" t="s">
        <v>13</v>
      </c>
    </row>
    <row r="39" spans="1:6" ht="14.45" customHeight="1">
      <c r="A39" s="35"/>
      <c r="B39" s="36"/>
      <c r="C39" s="33"/>
      <c r="D39" s="30" t="s">
        <v>12</v>
      </c>
      <c r="E39" s="3">
        <v>2</v>
      </c>
      <c r="F39" s="30" t="s">
        <v>13</v>
      </c>
    </row>
    <row r="40" spans="1:6" ht="14.45" customHeight="1">
      <c r="A40" s="35"/>
      <c r="B40" s="36"/>
      <c r="C40" s="33"/>
      <c r="D40" s="30" t="s">
        <v>24</v>
      </c>
      <c r="E40" s="3">
        <v>1</v>
      </c>
      <c r="F40" s="30" t="s">
        <v>13</v>
      </c>
    </row>
    <row r="41" spans="1:6" ht="14.45" customHeight="1">
      <c r="A41" s="35"/>
      <c r="B41" s="36"/>
      <c r="C41" s="33"/>
      <c r="D41" s="30" t="s">
        <v>33</v>
      </c>
      <c r="E41" s="3">
        <v>2</v>
      </c>
      <c r="F41" s="30" t="s">
        <v>13</v>
      </c>
    </row>
    <row r="42" spans="1:6" ht="14.45" customHeight="1">
      <c r="A42" s="35"/>
      <c r="B42" s="36"/>
      <c r="C42" s="33"/>
      <c r="D42" s="30" t="s">
        <v>260</v>
      </c>
      <c r="E42" s="3">
        <v>24</v>
      </c>
      <c r="F42" s="30" t="s">
        <v>13</v>
      </c>
    </row>
    <row r="43" spans="1:6" ht="14.45" customHeight="1">
      <c r="A43" s="35"/>
      <c r="B43" s="36"/>
      <c r="C43" s="33"/>
      <c r="D43" s="30" t="s">
        <v>62</v>
      </c>
      <c r="E43" s="3">
        <v>150</v>
      </c>
      <c r="F43" s="30" t="s">
        <v>32</v>
      </c>
    </row>
    <row r="44" spans="1:6" ht="14.45" customHeight="1">
      <c r="A44" s="35"/>
      <c r="B44" s="36"/>
      <c r="C44" s="33"/>
      <c r="D44" s="30" t="s">
        <v>14</v>
      </c>
      <c r="E44" s="3">
        <v>1</v>
      </c>
      <c r="F44" s="30" t="s">
        <v>13</v>
      </c>
    </row>
    <row r="45" spans="1:6" ht="14.45" customHeight="1">
      <c r="A45" s="35"/>
      <c r="B45" s="36"/>
      <c r="C45" s="33"/>
      <c r="D45" s="30" t="s">
        <v>15</v>
      </c>
      <c r="E45" s="3">
        <v>1</v>
      </c>
      <c r="F45" s="30" t="s">
        <v>13</v>
      </c>
    </row>
    <row r="46" spans="1:6" ht="14.45" customHeight="1">
      <c r="A46" s="35"/>
      <c r="B46" s="36"/>
      <c r="C46" s="33"/>
      <c r="D46" s="30" t="s">
        <v>51</v>
      </c>
      <c r="E46" s="3">
        <v>1</v>
      </c>
      <c r="F46" s="30" t="s">
        <v>13</v>
      </c>
    </row>
    <row r="47" spans="1:6" ht="14.45" customHeight="1">
      <c r="A47" s="35"/>
      <c r="B47" s="36"/>
      <c r="C47" s="34"/>
      <c r="D47" s="30" t="s">
        <v>16</v>
      </c>
      <c r="E47" s="3">
        <v>1</v>
      </c>
      <c r="F47" s="30" t="s">
        <v>13</v>
      </c>
    </row>
    <row r="48" spans="1:6" ht="15">
      <c r="A48" s="35" t="s">
        <v>261</v>
      </c>
      <c r="B48" s="36">
        <v>410</v>
      </c>
      <c r="C48" s="31" t="s">
        <v>262</v>
      </c>
      <c r="D48" s="30" t="s">
        <v>30</v>
      </c>
      <c r="E48" s="3">
        <v>700</v>
      </c>
      <c r="F48" s="30" t="s">
        <v>9</v>
      </c>
    </row>
    <row r="49" spans="1:6" ht="14.45" customHeight="1">
      <c r="A49" s="35"/>
      <c r="B49" s="36"/>
      <c r="C49" s="33"/>
      <c r="D49" s="30" t="s">
        <v>23</v>
      </c>
      <c r="E49" s="3">
        <v>1</v>
      </c>
      <c r="F49" s="30" t="s">
        <v>13</v>
      </c>
    </row>
    <row r="50" spans="1:6" ht="14.45" customHeight="1">
      <c r="A50" s="35"/>
      <c r="B50" s="36"/>
      <c r="C50" s="33"/>
      <c r="D50" s="30" t="s">
        <v>126</v>
      </c>
      <c r="E50" s="3">
        <v>20</v>
      </c>
      <c r="F50" s="30" t="s">
        <v>9</v>
      </c>
    </row>
    <row r="51" spans="1:6" ht="14.45" customHeight="1">
      <c r="A51" s="35"/>
      <c r="B51" s="36"/>
      <c r="C51" s="33"/>
      <c r="D51" s="30" t="s">
        <v>74</v>
      </c>
      <c r="E51" s="3">
        <v>1</v>
      </c>
      <c r="F51" s="30" t="s">
        <v>13</v>
      </c>
    </row>
    <row r="52" spans="1:6" ht="14.45" customHeight="1">
      <c r="A52" s="35"/>
      <c r="B52" s="36"/>
      <c r="C52" s="33"/>
      <c r="D52" s="30" t="s">
        <v>63</v>
      </c>
      <c r="E52" s="3">
        <v>100</v>
      </c>
      <c r="F52" s="30" t="s">
        <v>9</v>
      </c>
    </row>
    <row r="53" spans="1:6" ht="14.45" customHeight="1">
      <c r="A53" s="35"/>
      <c r="B53" s="36"/>
      <c r="C53" s="33"/>
      <c r="D53" s="30" t="s">
        <v>263</v>
      </c>
      <c r="E53" s="3">
        <v>1</v>
      </c>
      <c r="F53" s="30" t="s">
        <v>13</v>
      </c>
    </row>
    <row r="54" spans="1:6" ht="14.45" customHeight="1">
      <c r="A54" s="35"/>
      <c r="B54" s="36"/>
      <c r="C54" s="33"/>
      <c r="D54" s="30" t="s">
        <v>14</v>
      </c>
      <c r="E54" s="3">
        <v>1</v>
      </c>
      <c r="F54" s="30" t="s">
        <v>13</v>
      </c>
    </row>
    <row r="55" spans="1:6" ht="14.45" customHeight="1">
      <c r="A55" s="35"/>
      <c r="B55" s="36"/>
      <c r="C55" s="33"/>
      <c r="D55" s="30" t="s">
        <v>56</v>
      </c>
      <c r="E55" s="3">
        <v>1</v>
      </c>
      <c r="F55" s="30" t="s">
        <v>13</v>
      </c>
    </row>
    <row r="56" spans="1:6" ht="14.45" customHeight="1">
      <c r="A56" s="35"/>
      <c r="B56" s="36"/>
      <c r="C56" s="33"/>
      <c r="D56" s="30" t="s">
        <v>15</v>
      </c>
      <c r="E56" s="3">
        <v>1</v>
      </c>
      <c r="F56" s="30" t="s">
        <v>13</v>
      </c>
    </row>
    <row r="57" spans="1:6" ht="14.45" customHeight="1">
      <c r="A57" s="35"/>
      <c r="B57" s="36"/>
      <c r="C57" s="33"/>
      <c r="D57" s="30" t="s">
        <v>51</v>
      </c>
      <c r="E57" s="3">
        <v>1</v>
      </c>
      <c r="F57" s="30" t="s">
        <v>13</v>
      </c>
    </row>
    <row r="58" spans="1:6" ht="14.45" customHeight="1">
      <c r="A58" s="35"/>
      <c r="B58" s="36"/>
      <c r="C58" s="33"/>
      <c r="D58" s="30" t="s">
        <v>16</v>
      </c>
      <c r="E58" s="3">
        <v>1</v>
      </c>
      <c r="F58" s="30" t="s">
        <v>13</v>
      </c>
    </row>
    <row r="59" spans="1:6" ht="14.45" customHeight="1">
      <c r="A59" s="35"/>
      <c r="B59" s="36"/>
      <c r="C59" s="33"/>
      <c r="D59" s="30" t="s">
        <v>31</v>
      </c>
      <c r="E59" s="3">
        <v>35</v>
      </c>
      <c r="F59" s="30" t="s">
        <v>32</v>
      </c>
    </row>
    <row r="60" spans="1:6" ht="14.45" customHeight="1">
      <c r="A60" s="35"/>
      <c r="B60" s="36"/>
      <c r="C60" s="33"/>
      <c r="D60" s="30" t="s">
        <v>264</v>
      </c>
      <c r="E60" s="3">
        <v>25</v>
      </c>
      <c r="F60" s="30" t="s">
        <v>9</v>
      </c>
    </row>
    <row r="61" spans="1:6" ht="14.45" customHeight="1">
      <c r="A61" s="35"/>
      <c r="B61" s="36"/>
      <c r="C61" s="33"/>
      <c r="D61" s="30" t="s">
        <v>265</v>
      </c>
      <c r="E61" s="3">
        <v>35</v>
      </c>
      <c r="F61" s="30" t="s">
        <v>32</v>
      </c>
    </row>
    <row r="62" spans="1:6" ht="14.45" customHeight="1">
      <c r="A62" s="35"/>
      <c r="B62" s="36"/>
      <c r="C62" s="33"/>
      <c r="D62" s="30" t="s">
        <v>266</v>
      </c>
      <c r="E62" s="3">
        <v>35</v>
      </c>
      <c r="F62" s="30" t="s">
        <v>32</v>
      </c>
    </row>
    <row r="63" spans="1:6" ht="14.45" customHeight="1">
      <c r="A63" s="35"/>
      <c r="B63" s="36"/>
      <c r="C63" s="33"/>
      <c r="D63" s="30" t="s">
        <v>267</v>
      </c>
      <c r="E63" s="3">
        <v>0.5</v>
      </c>
      <c r="F63" s="30" t="s">
        <v>47</v>
      </c>
    </row>
    <row r="64" spans="1:6" ht="14.45" customHeight="1">
      <c r="A64" s="35"/>
      <c r="B64" s="36"/>
      <c r="C64" s="33"/>
      <c r="D64" s="30" t="s">
        <v>126</v>
      </c>
      <c r="E64" s="3">
        <v>20</v>
      </c>
      <c r="F64" s="30" t="s">
        <v>9</v>
      </c>
    </row>
    <row r="65" spans="1:6" ht="14.45" customHeight="1">
      <c r="A65" s="35"/>
      <c r="B65" s="36"/>
      <c r="C65" s="34"/>
      <c r="D65" s="30" t="s">
        <v>207</v>
      </c>
      <c r="E65" s="3">
        <v>2</v>
      </c>
      <c r="F65" s="30" t="s">
        <v>13</v>
      </c>
    </row>
    <row r="66" spans="1:6" ht="15">
      <c r="A66" s="35" t="s">
        <v>268</v>
      </c>
      <c r="B66" s="36">
        <v>424</v>
      </c>
      <c r="C66" s="31" t="s">
        <v>269</v>
      </c>
      <c r="D66" s="30" t="s">
        <v>270</v>
      </c>
      <c r="E66" s="3">
        <v>2</v>
      </c>
      <c r="F66" s="30" t="s">
        <v>13</v>
      </c>
    </row>
    <row r="67" spans="1:6" ht="14.45" customHeight="1">
      <c r="A67" s="35"/>
      <c r="B67" s="36"/>
      <c r="C67" s="33"/>
      <c r="D67" s="30" t="s">
        <v>12</v>
      </c>
      <c r="E67" s="3">
        <v>2</v>
      </c>
      <c r="F67" s="30" t="s">
        <v>13</v>
      </c>
    </row>
    <row r="68" spans="1:6" ht="14.45" customHeight="1">
      <c r="A68" s="35"/>
      <c r="B68" s="36"/>
      <c r="C68" s="33"/>
      <c r="D68" s="30" t="s">
        <v>24</v>
      </c>
      <c r="E68" s="3">
        <v>1</v>
      </c>
      <c r="F68" s="30" t="s">
        <v>13</v>
      </c>
    </row>
    <row r="69" spans="1:6" ht="14.45" customHeight="1">
      <c r="A69" s="35"/>
      <c r="B69" s="36"/>
      <c r="C69" s="33"/>
      <c r="D69" s="30" t="s">
        <v>33</v>
      </c>
      <c r="E69" s="3">
        <v>1</v>
      </c>
      <c r="F69" s="30" t="s">
        <v>13</v>
      </c>
    </row>
    <row r="70" spans="1:6" ht="14.45" customHeight="1">
      <c r="A70" s="35"/>
      <c r="B70" s="36"/>
      <c r="C70" s="33"/>
      <c r="D70" s="30" t="s">
        <v>271</v>
      </c>
      <c r="E70" s="3">
        <v>200</v>
      </c>
      <c r="F70" s="30" t="s">
        <v>32</v>
      </c>
    </row>
    <row r="71" spans="1:6" ht="14.45" customHeight="1">
      <c r="A71" s="35"/>
      <c r="B71" s="36"/>
      <c r="C71" s="33"/>
      <c r="D71" s="30" t="s">
        <v>272</v>
      </c>
      <c r="E71" s="3">
        <v>200</v>
      </c>
      <c r="F71" s="30" t="s">
        <v>32</v>
      </c>
    </row>
    <row r="72" spans="1:6" ht="14.45" customHeight="1">
      <c r="A72" s="35"/>
      <c r="B72" s="36"/>
      <c r="C72" s="33"/>
      <c r="D72" s="30" t="s">
        <v>14</v>
      </c>
      <c r="E72" s="3">
        <v>1</v>
      </c>
      <c r="F72" s="30" t="s">
        <v>13</v>
      </c>
    </row>
    <row r="73" spans="1:6" ht="14.45" customHeight="1">
      <c r="A73" s="35"/>
      <c r="B73" s="36"/>
      <c r="C73" s="33"/>
      <c r="D73" s="30" t="s">
        <v>267</v>
      </c>
      <c r="E73" s="3">
        <v>1</v>
      </c>
      <c r="F73" s="30" t="s">
        <v>47</v>
      </c>
    </row>
    <row r="74" spans="1:6" ht="14.45" customHeight="1">
      <c r="A74" s="35"/>
      <c r="B74" s="36"/>
      <c r="C74" s="33"/>
      <c r="D74" s="30" t="s">
        <v>273</v>
      </c>
      <c r="E74" s="3">
        <v>2</v>
      </c>
      <c r="F74" s="30" t="s">
        <v>13</v>
      </c>
    </row>
    <row r="75" spans="1:6" ht="14.45" customHeight="1">
      <c r="A75" s="35"/>
      <c r="B75" s="36"/>
      <c r="C75" s="33"/>
      <c r="D75" s="30" t="s">
        <v>86</v>
      </c>
      <c r="E75" s="3">
        <v>1</v>
      </c>
      <c r="F75" s="30" t="s">
        <v>13</v>
      </c>
    </row>
    <row r="76" spans="1:6" ht="14.45" customHeight="1">
      <c r="A76" s="35"/>
      <c r="B76" s="36"/>
      <c r="C76" s="33"/>
      <c r="D76" s="30" t="s">
        <v>15</v>
      </c>
      <c r="E76" s="3">
        <v>1</v>
      </c>
      <c r="F76" s="30" t="s">
        <v>13</v>
      </c>
    </row>
    <row r="77" spans="1:6" ht="14.45" customHeight="1">
      <c r="A77" s="35"/>
      <c r="B77" s="36"/>
      <c r="C77" s="33"/>
      <c r="D77" s="30" t="s">
        <v>51</v>
      </c>
      <c r="E77" s="3">
        <v>1</v>
      </c>
      <c r="F77" s="30" t="s">
        <v>13</v>
      </c>
    </row>
    <row r="78" spans="1:6" ht="14.45" customHeight="1">
      <c r="A78" s="35"/>
      <c r="B78" s="36"/>
      <c r="C78" s="33"/>
      <c r="D78" s="30" t="s">
        <v>16</v>
      </c>
      <c r="E78" s="3">
        <v>1</v>
      </c>
      <c r="F78" s="30" t="s">
        <v>13</v>
      </c>
    </row>
    <row r="79" spans="1:6" ht="14.45" customHeight="1">
      <c r="A79" s="35"/>
      <c r="B79" s="36"/>
      <c r="C79" s="33"/>
      <c r="D79" s="30" t="s">
        <v>60</v>
      </c>
      <c r="E79" s="3">
        <v>3</v>
      </c>
      <c r="F79" s="30" t="s">
        <v>13</v>
      </c>
    </row>
    <row r="80" spans="1:6" ht="14.45" customHeight="1">
      <c r="A80" s="35"/>
      <c r="B80" s="36"/>
      <c r="C80" s="33"/>
      <c r="D80" s="30" t="s">
        <v>73</v>
      </c>
      <c r="E80" s="3">
        <v>1</v>
      </c>
      <c r="F80" s="30" t="s">
        <v>13</v>
      </c>
    </row>
    <row r="81" spans="1:6" ht="14.45" customHeight="1">
      <c r="A81" s="35"/>
      <c r="B81" s="36"/>
      <c r="C81" s="33"/>
      <c r="D81" s="30" t="s">
        <v>75</v>
      </c>
      <c r="E81" s="3">
        <v>50</v>
      </c>
      <c r="F81" s="30" t="s">
        <v>9</v>
      </c>
    </row>
    <row r="82" spans="1:6" ht="14.45" customHeight="1">
      <c r="A82" s="35"/>
      <c r="B82" s="36"/>
      <c r="C82" s="34"/>
      <c r="D82" s="30" t="s">
        <v>80</v>
      </c>
      <c r="E82" s="3">
        <v>100</v>
      </c>
      <c r="F82" s="30" t="s">
        <v>9</v>
      </c>
    </row>
    <row r="83" spans="1:6" ht="15">
      <c r="A83" s="35" t="s">
        <v>274</v>
      </c>
      <c r="B83" s="36">
        <v>436</v>
      </c>
      <c r="C83" s="31" t="s">
        <v>275</v>
      </c>
      <c r="D83" s="30" t="s">
        <v>67</v>
      </c>
      <c r="E83" s="3">
        <v>300</v>
      </c>
      <c r="F83" s="30" t="s">
        <v>9</v>
      </c>
    </row>
    <row r="84" spans="1:6" ht="14.45" customHeight="1">
      <c r="A84" s="35"/>
      <c r="B84" s="36"/>
      <c r="C84" s="33"/>
      <c r="D84" s="30" t="s">
        <v>23</v>
      </c>
      <c r="E84" s="3">
        <v>2</v>
      </c>
      <c r="F84" s="30" t="s">
        <v>13</v>
      </c>
    </row>
    <row r="85" spans="1:6" ht="14.45" customHeight="1">
      <c r="A85" s="35"/>
      <c r="B85" s="36"/>
      <c r="C85" s="33"/>
      <c r="D85" s="30" t="s">
        <v>210</v>
      </c>
      <c r="E85" s="3">
        <v>100</v>
      </c>
      <c r="F85" s="30" t="s">
        <v>9</v>
      </c>
    </row>
    <row r="86" spans="1:6" ht="14.45" customHeight="1">
      <c r="A86" s="35"/>
      <c r="B86" s="36"/>
      <c r="C86" s="33"/>
      <c r="D86" s="30" t="s">
        <v>33</v>
      </c>
      <c r="E86" s="3">
        <v>4</v>
      </c>
      <c r="F86" s="30" t="s">
        <v>13</v>
      </c>
    </row>
    <row r="87" spans="1:6" ht="14.45" customHeight="1">
      <c r="A87" s="35"/>
      <c r="B87" s="36"/>
      <c r="C87" s="33"/>
      <c r="D87" s="30" t="s">
        <v>217</v>
      </c>
      <c r="E87" s="3">
        <v>50</v>
      </c>
      <c r="F87" s="30" t="s">
        <v>32</v>
      </c>
    </row>
    <row r="88" spans="1:6" ht="14.45" customHeight="1">
      <c r="A88" s="35"/>
      <c r="B88" s="36"/>
      <c r="C88" s="33"/>
      <c r="D88" s="30" t="s">
        <v>12</v>
      </c>
      <c r="E88" s="3">
        <v>2</v>
      </c>
      <c r="F88" s="30" t="s">
        <v>13</v>
      </c>
    </row>
    <row r="89" spans="1:6" ht="14.45" customHeight="1">
      <c r="A89" s="35"/>
      <c r="B89" s="36"/>
      <c r="C89" s="33"/>
      <c r="D89" s="30" t="s">
        <v>14</v>
      </c>
      <c r="E89" s="3">
        <v>1</v>
      </c>
      <c r="F89" s="30" t="s">
        <v>13</v>
      </c>
    </row>
    <row r="90" spans="1:6" ht="14.45" customHeight="1">
      <c r="A90" s="35"/>
      <c r="B90" s="36"/>
      <c r="C90" s="33"/>
      <c r="D90" s="30" t="s">
        <v>15</v>
      </c>
      <c r="E90" s="3">
        <v>1</v>
      </c>
      <c r="F90" s="30" t="s">
        <v>13</v>
      </c>
    </row>
    <row r="91" spans="1:6" ht="14.45" customHeight="1">
      <c r="A91" s="35"/>
      <c r="B91" s="36"/>
      <c r="C91" s="33"/>
      <c r="D91" s="30" t="s">
        <v>16</v>
      </c>
      <c r="E91" s="3">
        <v>1</v>
      </c>
      <c r="F91" s="30" t="s">
        <v>13</v>
      </c>
    </row>
    <row r="92" spans="1:6" ht="14.45" customHeight="1">
      <c r="A92" s="35"/>
      <c r="B92" s="36"/>
      <c r="C92" s="33"/>
      <c r="D92" s="30" t="s">
        <v>74</v>
      </c>
      <c r="E92" s="3">
        <v>2</v>
      </c>
      <c r="F92" s="30" t="s">
        <v>13</v>
      </c>
    </row>
    <row r="93" spans="1:6" ht="14.45" customHeight="1">
      <c r="A93" s="35"/>
      <c r="B93" s="36"/>
      <c r="C93" s="33"/>
      <c r="D93" s="30" t="s">
        <v>69</v>
      </c>
      <c r="E93" s="3">
        <v>165</v>
      </c>
      <c r="F93" s="30" t="s">
        <v>32</v>
      </c>
    </row>
    <row r="94" spans="1:6" ht="14.45" customHeight="1">
      <c r="A94" s="35"/>
      <c r="B94" s="36"/>
      <c r="C94" s="33"/>
      <c r="D94" s="30" t="s">
        <v>61</v>
      </c>
      <c r="E94" s="3">
        <v>75</v>
      </c>
      <c r="F94" s="30" t="s">
        <v>9</v>
      </c>
    </row>
    <row r="95" spans="1:6" ht="14.45" customHeight="1">
      <c r="A95" s="35"/>
      <c r="B95" s="36"/>
      <c r="C95" s="33"/>
      <c r="D95" s="30" t="s">
        <v>14</v>
      </c>
      <c r="E95" s="3">
        <v>1</v>
      </c>
      <c r="F95" s="30" t="s">
        <v>47</v>
      </c>
    </row>
    <row r="96" spans="1:6" ht="14.45" customHeight="1">
      <c r="A96" s="35"/>
      <c r="B96" s="36"/>
      <c r="C96" s="34"/>
      <c r="D96" s="30" t="s">
        <v>16</v>
      </c>
      <c r="E96" s="3">
        <v>1</v>
      </c>
      <c r="F96" s="30" t="s">
        <v>13</v>
      </c>
    </row>
    <row r="97" spans="1:6" ht="15">
      <c r="A97" s="35" t="s">
        <v>276</v>
      </c>
      <c r="B97" s="36">
        <v>444</v>
      </c>
      <c r="C97" s="31" t="s">
        <v>277</v>
      </c>
      <c r="D97" s="30" t="s">
        <v>185</v>
      </c>
      <c r="E97" s="3">
        <v>350</v>
      </c>
      <c r="F97" s="30" t="s">
        <v>9</v>
      </c>
    </row>
    <row r="98" spans="1:6" ht="14.45" customHeight="1">
      <c r="A98" s="35"/>
      <c r="B98" s="36"/>
      <c r="C98" s="33"/>
      <c r="D98" s="30" t="s">
        <v>147</v>
      </c>
      <c r="E98" s="3">
        <v>400</v>
      </c>
      <c r="F98" s="30" t="s">
        <v>9</v>
      </c>
    </row>
    <row r="99" spans="1:6" ht="14.45" customHeight="1">
      <c r="A99" s="35"/>
      <c r="B99" s="36"/>
      <c r="C99" s="33"/>
      <c r="D99" s="30" t="s">
        <v>60</v>
      </c>
      <c r="E99" s="3">
        <v>7</v>
      </c>
      <c r="F99" s="30" t="s">
        <v>13</v>
      </c>
    </row>
    <row r="100" spans="1:6" ht="14.45" customHeight="1">
      <c r="A100" s="35"/>
      <c r="B100" s="36"/>
      <c r="C100" s="33"/>
      <c r="D100" s="30" t="s">
        <v>24</v>
      </c>
      <c r="E100" s="3">
        <v>0.5</v>
      </c>
      <c r="F100" s="30" t="s">
        <v>13</v>
      </c>
    </row>
    <row r="101" spans="1:6" ht="14.45" customHeight="1">
      <c r="A101" s="35"/>
      <c r="B101" s="36"/>
      <c r="C101" s="33"/>
      <c r="D101" s="30" t="s">
        <v>100</v>
      </c>
      <c r="E101" s="3">
        <v>1</v>
      </c>
      <c r="F101" s="30" t="s">
        <v>13</v>
      </c>
    </row>
    <row r="102" spans="1:6" ht="14.45" customHeight="1">
      <c r="A102" s="35"/>
      <c r="B102" s="36"/>
      <c r="C102" s="33"/>
      <c r="D102" s="30" t="s">
        <v>35</v>
      </c>
      <c r="E102" s="3">
        <v>0.5</v>
      </c>
      <c r="F102" s="30" t="s">
        <v>13</v>
      </c>
    </row>
    <row r="103" spans="1:6" ht="14.45" customHeight="1">
      <c r="A103" s="35"/>
      <c r="B103" s="36"/>
      <c r="C103" s="33"/>
      <c r="D103" s="30" t="s">
        <v>33</v>
      </c>
      <c r="E103" s="3">
        <v>2</v>
      </c>
      <c r="F103" s="30" t="s">
        <v>13</v>
      </c>
    </row>
    <row r="104" spans="1:6" ht="14.45" customHeight="1">
      <c r="A104" s="35"/>
      <c r="B104" s="36"/>
      <c r="C104" s="33"/>
      <c r="D104" s="30" t="s">
        <v>278</v>
      </c>
      <c r="E104" s="3">
        <v>12</v>
      </c>
      <c r="F104" s="30" t="s">
        <v>13</v>
      </c>
    </row>
    <row r="105" spans="1:6" ht="14.45" customHeight="1">
      <c r="A105" s="35"/>
      <c r="B105" s="36"/>
      <c r="C105" s="33"/>
      <c r="D105" s="30" t="s">
        <v>14</v>
      </c>
      <c r="E105" s="3">
        <v>1</v>
      </c>
      <c r="F105" s="30" t="s">
        <v>13</v>
      </c>
    </row>
    <row r="106" spans="1:6" ht="14.45" customHeight="1">
      <c r="A106" s="35"/>
      <c r="B106" s="36"/>
      <c r="C106" s="33"/>
      <c r="D106" s="30" t="s">
        <v>86</v>
      </c>
      <c r="E106" s="3">
        <v>1</v>
      </c>
      <c r="F106" s="30" t="s">
        <v>13</v>
      </c>
    </row>
    <row r="107" spans="1:6" ht="14.45" customHeight="1">
      <c r="A107" s="35"/>
      <c r="B107" s="36"/>
      <c r="C107" s="33"/>
      <c r="D107" s="30" t="s">
        <v>15</v>
      </c>
      <c r="E107" s="3">
        <v>1</v>
      </c>
      <c r="F107" s="30" t="s">
        <v>13</v>
      </c>
    </row>
    <row r="108" spans="1:6" ht="14.45" customHeight="1">
      <c r="A108" s="35"/>
      <c r="B108" s="36"/>
      <c r="C108" s="33"/>
      <c r="D108" s="30" t="s">
        <v>279</v>
      </c>
      <c r="E108" s="3">
        <v>1</v>
      </c>
      <c r="F108" s="30" t="s">
        <v>47</v>
      </c>
    </row>
    <row r="109" spans="1:6" ht="14.45" customHeight="1">
      <c r="A109" s="35"/>
      <c r="B109" s="36"/>
      <c r="C109" s="33"/>
      <c r="D109" s="30" t="s">
        <v>144</v>
      </c>
      <c r="E109" s="3">
        <v>10</v>
      </c>
      <c r="F109" s="30" t="s">
        <v>13</v>
      </c>
    </row>
    <row r="110" spans="1:6" ht="14.45" customHeight="1">
      <c r="A110" s="35"/>
      <c r="B110" s="36"/>
      <c r="C110" s="33"/>
      <c r="D110" s="30" t="s">
        <v>16</v>
      </c>
      <c r="E110" s="3">
        <v>1</v>
      </c>
      <c r="F110" s="30" t="s">
        <v>13</v>
      </c>
    </row>
    <row r="111" spans="1:6" ht="14.45" customHeight="1">
      <c r="A111" s="35"/>
      <c r="B111" s="36"/>
      <c r="C111" s="33"/>
      <c r="D111" s="30" t="s">
        <v>74</v>
      </c>
      <c r="E111" s="3">
        <v>2</v>
      </c>
      <c r="F111" s="30" t="s">
        <v>13</v>
      </c>
    </row>
    <row r="112" spans="1:6" ht="14.45" customHeight="1">
      <c r="A112" s="35"/>
      <c r="B112" s="36"/>
      <c r="C112" s="33"/>
      <c r="D112" s="30" t="s">
        <v>46</v>
      </c>
      <c r="E112" s="3">
        <v>20</v>
      </c>
      <c r="F112" s="30" t="s">
        <v>9</v>
      </c>
    </row>
    <row r="113" spans="1:6" ht="14.45" customHeight="1">
      <c r="A113" s="35"/>
      <c r="B113" s="36"/>
      <c r="C113" s="33"/>
      <c r="D113" s="30" t="s">
        <v>14</v>
      </c>
      <c r="E113" s="3">
        <v>1</v>
      </c>
      <c r="F113" s="30" t="s">
        <v>13</v>
      </c>
    </row>
    <row r="114" spans="1:6" ht="14.45" customHeight="1">
      <c r="A114" s="35"/>
      <c r="B114" s="36"/>
      <c r="C114" s="34"/>
      <c r="D114" s="30" t="s">
        <v>16</v>
      </c>
      <c r="E114" s="3">
        <v>1</v>
      </c>
      <c r="F114" s="30" t="s">
        <v>13</v>
      </c>
    </row>
    <row r="115" spans="1:6" ht="15">
      <c r="A115" s="35" t="s">
        <v>280</v>
      </c>
      <c r="B115" s="36">
        <v>452</v>
      </c>
      <c r="C115" s="31" t="s">
        <v>281</v>
      </c>
      <c r="D115" s="30" t="s">
        <v>282</v>
      </c>
      <c r="E115" s="3">
        <v>4</v>
      </c>
      <c r="F115" s="30" t="s">
        <v>13</v>
      </c>
    </row>
    <row r="116" spans="1:6" ht="14.45" customHeight="1">
      <c r="A116" s="35"/>
      <c r="B116" s="36"/>
      <c r="C116" s="33"/>
      <c r="D116" s="30" t="s">
        <v>283</v>
      </c>
      <c r="E116" s="3">
        <v>200</v>
      </c>
      <c r="F116" s="30" t="s">
        <v>9</v>
      </c>
    </row>
    <row r="117" spans="1:6" ht="14.45" customHeight="1">
      <c r="A117" s="35"/>
      <c r="B117" s="36"/>
      <c r="C117" s="33"/>
      <c r="D117" s="30" t="s">
        <v>12</v>
      </c>
      <c r="E117" s="3">
        <v>4</v>
      </c>
      <c r="F117" s="30" t="s">
        <v>13</v>
      </c>
    </row>
    <row r="118" spans="1:6" ht="14.45" customHeight="1">
      <c r="A118" s="35"/>
      <c r="B118" s="36"/>
      <c r="C118" s="33"/>
      <c r="D118" s="30" t="s">
        <v>24</v>
      </c>
      <c r="E118" s="3">
        <v>2</v>
      </c>
      <c r="F118" s="30" t="s">
        <v>13</v>
      </c>
    </row>
    <row r="119" spans="1:6" ht="14.45" customHeight="1">
      <c r="A119" s="35"/>
      <c r="B119" s="36"/>
      <c r="C119" s="33"/>
      <c r="D119" s="30" t="s">
        <v>33</v>
      </c>
      <c r="E119" s="3">
        <v>2</v>
      </c>
      <c r="F119" s="30" t="s">
        <v>13</v>
      </c>
    </row>
    <row r="120" spans="1:6" ht="14.45" customHeight="1">
      <c r="A120" s="35"/>
      <c r="B120" s="36"/>
      <c r="C120" s="33"/>
      <c r="D120" s="30" t="s">
        <v>208</v>
      </c>
      <c r="E120" s="3">
        <v>4</v>
      </c>
      <c r="F120" s="30" t="s">
        <v>13</v>
      </c>
    </row>
    <row r="121" spans="1:6" ht="14.45" customHeight="1">
      <c r="A121" s="35"/>
      <c r="B121" s="36"/>
      <c r="C121" s="33"/>
      <c r="D121" s="30" t="s">
        <v>284</v>
      </c>
      <c r="E121" s="3">
        <v>2</v>
      </c>
      <c r="F121" s="30" t="s">
        <v>47</v>
      </c>
    </row>
    <row r="122" spans="1:6" ht="14.45" customHeight="1">
      <c r="A122" s="35"/>
      <c r="B122" s="36"/>
      <c r="C122" s="33"/>
      <c r="D122" s="30" t="s">
        <v>271</v>
      </c>
      <c r="E122" s="3">
        <v>125</v>
      </c>
      <c r="F122" s="30" t="s">
        <v>32</v>
      </c>
    </row>
    <row r="123" spans="1:6" ht="14.45" customHeight="1">
      <c r="A123" s="35"/>
      <c r="B123" s="36"/>
      <c r="C123" s="33"/>
      <c r="D123" s="30" t="s">
        <v>156</v>
      </c>
      <c r="E123" s="3">
        <v>750</v>
      </c>
      <c r="F123" s="30" t="s">
        <v>32</v>
      </c>
    </row>
    <row r="124" spans="1:6" ht="14.45" customHeight="1">
      <c r="A124" s="35"/>
      <c r="B124" s="36"/>
      <c r="C124" s="33"/>
      <c r="D124" s="30" t="s">
        <v>14</v>
      </c>
      <c r="E124" s="3">
        <v>1</v>
      </c>
      <c r="F124" s="30" t="s">
        <v>13</v>
      </c>
    </row>
    <row r="125" spans="1:6" ht="14.45" customHeight="1">
      <c r="A125" s="35"/>
      <c r="B125" s="36"/>
      <c r="C125" s="33"/>
      <c r="D125" s="30" t="s">
        <v>285</v>
      </c>
      <c r="E125" s="3">
        <v>0.5</v>
      </c>
      <c r="F125" s="30" t="s">
        <v>13</v>
      </c>
    </row>
    <row r="126" spans="1:6" ht="14.45" customHeight="1">
      <c r="A126" s="35"/>
      <c r="B126" s="36"/>
      <c r="C126" s="33"/>
      <c r="D126" s="30" t="s">
        <v>273</v>
      </c>
      <c r="E126" s="3">
        <v>2.5</v>
      </c>
      <c r="F126" s="30" t="s">
        <v>13</v>
      </c>
    </row>
    <row r="127" spans="1:6" ht="14.45" customHeight="1">
      <c r="A127" s="35"/>
      <c r="B127" s="36"/>
      <c r="C127" s="33"/>
      <c r="D127" s="30" t="s">
        <v>15</v>
      </c>
      <c r="E127" s="3">
        <v>1</v>
      </c>
      <c r="F127" s="30" t="s">
        <v>13</v>
      </c>
    </row>
    <row r="128" spans="1:6" ht="14.45" customHeight="1">
      <c r="A128" s="35"/>
      <c r="B128" s="36"/>
      <c r="C128" s="34"/>
      <c r="D128" s="30" t="s">
        <v>16</v>
      </c>
      <c r="E128" s="3">
        <v>1</v>
      </c>
      <c r="F128" s="30" t="s">
        <v>13</v>
      </c>
    </row>
    <row r="129" spans="1:6" ht="15">
      <c r="A129" s="35" t="s">
        <v>286</v>
      </c>
      <c r="B129" s="36">
        <v>462</v>
      </c>
      <c r="C129" s="31" t="s">
        <v>287</v>
      </c>
      <c r="D129" s="30" t="s">
        <v>288</v>
      </c>
      <c r="E129" s="3">
        <v>600</v>
      </c>
      <c r="F129" s="30" t="s">
        <v>9</v>
      </c>
    </row>
    <row r="130" spans="1:6" ht="14.45" customHeight="1">
      <c r="A130" s="35"/>
      <c r="B130" s="36"/>
      <c r="C130" s="33"/>
      <c r="D130" s="30" t="s">
        <v>66</v>
      </c>
      <c r="E130" s="3">
        <v>2</v>
      </c>
      <c r="F130" s="30" t="s">
        <v>13</v>
      </c>
    </row>
    <row r="131" spans="1:6" ht="14.45" customHeight="1">
      <c r="A131" s="35"/>
      <c r="B131" s="36"/>
      <c r="C131" s="33"/>
      <c r="D131" s="30" t="s">
        <v>60</v>
      </c>
      <c r="E131" s="3">
        <v>2</v>
      </c>
      <c r="F131" s="30" t="s">
        <v>13</v>
      </c>
    </row>
    <row r="132" spans="1:6" ht="14.45" customHeight="1">
      <c r="A132" s="35"/>
      <c r="B132" s="36"/>
      <c r="C132" s="33"/>
      <c r="D132" s="30" t="s">
        <v>12</v>
      </c>
      <c r="E132" s="3">
        <v>2</v>
      </c>
      <c r="F132" s="30" t="s">
        <v>13</v>
      </c>
    </row>
    <row r="133" spans="1:6" ht="14.45" customHeight="1">
      <c r="A133" s="35"/>
      <c r="B133" s="36"/>
      <c r="C133" s="33"/>
      <c r="D133" s="30" t="s">
        <v>24</v>
      </c>
      <c r="E133" s="3">
        <v>1</v>
      </c>
      <c r="F133" s="30" t="s">
        <v>13</v>
      </c>
    </row>
    <row r="134" spans="1:6" ht="14.45" customHeight="1">
      <c r="A134" s="35"/>
      <c r="B134" s="36"/>
      <c r="C134" s="33"/>
      <c r="D134" s="30" t="s">
        <v>34</v>
      </c>
      <c r="E134" s="3">
        <v>1</v>
      </c>
      <c r="F134" s="30" t="s">
        <v>13</v>
      </c>
    </row>
    <row r="135" spans="1:6" ht="14.45" customHeight="1">
      <c r="A135" s="35"/>
      <c r="B135" s="36"/>
      <c r="C135" s="33"/>
      <c r="D135" s="30" t="s">
        <v>211</v>
      </c>
      <c r="E135" s="3">
        <v>250</v>
      </c>
      <c r="F135" s="30" t="s">
        <v>32</v>
      </c>
    </row>
    <row r="136" spans="1:6" ht="14.45" customHeight="1">
      <c r="A136" s="35"/>
      <c r="B136" s="36"/>
      <c r="C136" s="33"/>
      <c r="D136" s="30" t="s">
        <v>61</v>
      </c>
      <c r="E136" s="3">
        <v>30</v>
      </c>
      <c r="F136" s="30" t="s">
        <v>9</v>
      </c>
    </row>
    <row r="137" spans="1:6" ht="14.45" customHeight="1">
      <c r="A137" s="35"/>
      <c r="B137" s="36"/>
      <c r="C137" s="33"/>
      <c r="D137" s="30" t="s">
        <v>69</v>
      </c>
      <c r="E137" s="3">
        <v>600</v>
      </c>
      <c r="F137" s="30" t="s">
        <v>32</v>
      </c>
    </row>
    <row r="138" spans="1:6" ht="14.45" customHeight="1">
      <c r="A138" s="35"/>
      <c r="B138" s="36"/>
      <c r="C138" s="33"/>
      <c r="D138" s="30" t="s">
        <v>80</v>
      </c>
      <c r="E138" s="3">
        <v>100</v>
      </c>
      <c r="F138" s="30" t="s">
        <v>9</v>
      </c>
    </row>
    <row r="139" spans="1:6" ht="14.45" customHeight="1">
      <c r="A139" s="35"/>
      <c r="B139" s="36"/>
      <c r="C139" s="33"/>
      <c r="D139" s="30" t="s">
        <v>14</v>
      </c>
      <c r="E139" s="3">
        <v>1</v>
      </c>
      <c r="F139" s="30" t="s">
        <v>13</v>
      </c>
    </row>
    <row r="140" spans="1:6" ht="14.45" customHeight="1">
      <c r="A140" s="35"/>
      <c r="B140" s="36"/>
      <c r="C140" s="33"/>
      <c r="D140" s="30" t="s">
        <v>273</v>
      </c>
      <c r="E140" s="3">
        <v>1</v>
      </c>
      <c r="F140" s="30" t="s">
        <v>47</v>
      </c>
    </row>
    <row r="141" spans="1:6" ht="14.45" customHeight="1">
      <c r="A141" s="35"/>
      <c r="B141" s="36"/>
      <c r="C141" s="33"/>
      <c r="D141" s="30" t="s">
        <v>285</v>
      </c>
      <c r="E141" s="3">
        <v>1</v>
      </c>
      <c r="F141" s="30" t="s">
        <v>47</v>
      </c>
    </row>
    <row r="142" spans="1:6" ht="14.45" customHeight="1">
      <c r="A142" s="35"/>
      <c r="B142" s="36"/>
      <c r="C142" s="33"/>
      <c r="D142" s="30" t="s">
        <v>81</v>
      </c>
      <c r="E142" s="3">
        <v>1</v>
      </c>
      <c r="F142" s="30" t="s">
        <v>47</v>
      </c>
    </row>
    <row r="143" spans="1:6" ht="14.45" customHeight="1">
      <c r="A143" s="35"/>
      <c r="B143" s="36"/>
      <c r="C143" s="33"/>
      <c r="D143" s="30" t="s">
        <v>15</v>
      </c>
      <c r="E143" s="3">
        <v>1</v>
      </c>
      <c r="F143" s="30" t="s">
        <v>13</v>
      </c>
    </row>
    <row r="144" spans="1:6" ht="14.45" customHeight="1">
      <c r="A144" s="35"/>
      <c r="B144" s="36"/>
      <c r="C144" s="33"/>
      <c r="D144" s="30" t="s">
        <v>51</v>
      </c>
      <c r="E144" s="3">
        <v>1</v>
      </c>
      <c r="F144" s="30" t="s">
        <v>13</v>
      </c>
    </row>
    <row r="145" spans="1:6" ht="14.45" customHeight="1">
      <c r="A145" s="35"/>
      <c r="B145" s="36"/>
      <c r="C145" s="33"/>
      <c r="D145" s="30" t="s">
        <v>41</v>
      </c>
      <c r="E145" s="3">
        <v>1</v>
      </c>
      <c r="F145" s="30" t="s">
        <v>13</v>
      </c>
    </row>
    <row r="146" spans="1:6" ht="14.45" customHeight="1">
      <c r="A146" s="35"/>
      <c r="B146" s="36"/>
      <c r="C146" s="34"/>
      <c r="D146" s="30" t="s">
        <v>16</v>
      </c>
      <c r="E146" s="3">
        <v>1</v>
      </c>
      <c r="F146" s="30" t="s">
        <v>13</v>
      </c>
    </row>
    <row r="147" spans="1:6" ht="15">
      <c r="A147" s="35" t="s">
        <v>289</v>
      </c>
      <c r="B147" s="36">
        <v>470</v>
      </c>
      <c r="C147" s="31" t="s">
        <v>290</v>
      </c>
      <c r="D147" s="30" t="s">
        <v>291</v>
      </c>
      <c r="E147" s="3">
        <v>4</v>
      </c>
      <c r="F147" s="30" t="s">
        <v>13</v>
      </c>
    </row>
    <row r="148" spans="1:6" ht="14.45" customHeight="1">
      <c r="A148" s="35"/>
      <c r="B148" s="36"/>
      <c r="C148" s="33"/>
      <c r="D148" s="30" t="s">
        <v>60</v>
      </c>
      <c r="E148" s="3">
        <v>2</v>
      </c>
      <c r="F148" s="30" t="s">
        <v>13</v>
      </c>
    </row>
    <row r="149" spans="1:6" ht="14.45" customHeight="1">
      <c r="A149" s="35"/>
      <c r="B149" s="36"/>
      <c r="C149" s="33"/>
      <c r="D149" s="30" t="s">
        <v>12</v>
      </c>
      <c r="E149" s="3">
        <v>2</v>
      </c>
      <c r="F149" s="30" t="s">
        <v>13</v>
      </c>
    </row>
    <row r="150" spans="1:6" ht="14.45" customHeight="1">
      <c r="A150" s="35"/>
      <c r="B150" s="36"/>
      <c r="C150" s="33"/>
      <c r="D150" s="30" t="s">
        <v>62</v>
      </c>
      <c r="E150" s="3">
        <v>125</v>
      </c>
      <c r="F150" s="30" t="s">
        <v>32</v>
      </c>
    </row>
    <row r="151" spans="1:6" ht="14.45" customHeight="1">
      <c r="A151" s="35"/>
      <c r="B151" s="36"/>
      <c r="C151" s="33"/>
      <c r="D151" s="30" t="s">
        <v>169</v>
      </c>
      <c r="E151" s="3">
        <v>16</v>
      </c>
      <c r="F151" s="30" t="s">
        <v>13</v>
      </c>
    </row>
    <row r="152" spans="1:6" ht="14.45" customHeight="1">
      <c r="A152" s="35"/>
      <c r="B152" s="36"/>
      <c r="C152" s="33"/>
      <c r="D152" s="30" t="s">
        <v>267</v>
      </c>
      <c r="E152" s="3">
        <v>1</v>
      </c>
      <c r="F152" s="30" t="s">
        <v>47</v>
      </c>
    </row>
    <row r="153" spans="1:6" ht="14.45" customHeight="1">
      <c r="A153" s="35"/>
      <c r="B153" s="36"/>
      <c r="C153" s="33"/>
      <c r="D153" s="30" t="s">
        <v>14</v>
      </c>
      <c r="E153" s="3">
        <v>1</v>
      </c>
      <c r="F153" s="30" t="s">
        <v>13</v>
      </c>
    </row>
    <row r="154" spans="1:6" ht="14.45" customHeight="1">
      <c r="A154" s="35"/>
      <c r="B154" s="36"/>
      <c r="C154" s="33"/>
      <c r="D154" s="30" t="s">
        <v>273</v>
      </c>
      <c r="E154" s="3">
        <v>1</v>
      </c>
      <c r="F154" s="30" t="s">
        <v>13</v>
      </c>
    </row>
    <row r="155" spans="1:6" ht="14.45" customHeight="1">
      <c r="A155" s="35"/>
      <c r="B155" s="36"/>
      <c r="C155" s="33"/>
      <c r="D155" s="30" t="s">
        <v>285</v>
      </c>
      <c r="E155" s="3">
        <v>1</v>
      </c>
      <c r="F155" s="30" t="s">
        <v>13</v>
      </c>
    </row>
    <row r="156" spans="1:6" ht="14.45" customHeight="1">
      <c r="A156" s="35"/>
      <c r="B156" s="36"/>
      <c r="C156" s="33"/>
      <c r="D156" s="30" t="s">
        <v>15</v>
      </c>
      <c r="E156" s="3">
        <v>1</v>
      </c>
      <c r="F156" s="30" t="s">
        <v>13</v>
      </c>
    </row>
    <row r="157" spans="1:6" ht="14.45" customHeight="1">
      <c r="A157" s="35"/>
      <c r="B157" s="36"/>
      <c r="C157" s="33"/>
      <c r="D157" s="30" t="s">
        <v>248</v>
      </c>
      <c r="E157" s="3">
        <v>1</v>
      </c>
      <c r="F157" s="30" t="s">
        <v>13</v>
      </c>
    </row>
    <row r="158" spans="1:6" ht="14.45" customHeight="1">
      <c r="A158" s="35"/>
      <c r="B158" s="36"/>
      <c r="C158" s="33"/>
      <c r="D158" s="30" t="s">
        <v>51</v>
      </c>
      <c r="E158" s="3">
        <v>1</v>
      </c>
      <c r="F158" s="30" t="s">
        <v>13</v>
      </c>
    </row>
    <row r="159" spans="1:6" ht="14.45" customHeight="1">
      <c r="A159" s="35"/>
      <c r="B159" s="36"/>
      <c r="C159" s="34"/>
      <c r="D159" s="30" t="s">
        <v>16</v>
      </c>
      <c r="E159" s="3">
        <v>1</v>
      </c>
      <c r="F159" s="30" t="s">
        <v>13</v>
      </c>
    </row>
    <row r="160" spans="1:6" ht="15">
      <c r="A160" s="35" t="s">
        <v>292</v>
      </c>
      <c r="B160" s="36">
        <v>485</v>
      </c>
      <c r="C160" s="31" t="s">
        <v>293</v>
      </c>
      <c r="D160" s="30" t="s">
        <v>251</v>
      </c>
      <c r="E160" s="3">
        <v>1000</v>
      </c>
      <c r="F160" s="30" t="s">
        <v>9</v>
      </c>
    </row>
    <row r="161" spans="1:6" ht="14.45" customHeight="1">
      <c r="A161" s="35"/>
      <c r="B161" s="36"/>
      <c r="C161" s="33"/>
      <c r="D161" s="30" t="s">
        <v>294</v>
      </c>
      <c r="E161" s="3">
        <v>20</v>
      </c>
      <c r="F161" s="30" t="s">
        <v>13</v>
      </c>
    </row>
    <row r="162" spans="1:6" ht="14.45" customHeight="1">
      <c r="A162" s="35"/>
      <c r="B162" s="36"/>
      <c r="C162" s="33"/>
      <c r="D162" s="30" t="s">
        <v>24</v>
      </c>
      <c r="E162" s="3">
        <v>1</v>
      </c>
      <c r="F162" s="30" t="s">
        <v>13</v>
      </c>
    </row>
    <row r="163" spans="1:6" ht="14.45" customHeight="1">
      <c r="A163" s="35"/>
      <c r="B163" s="36"/>
      <c r="C163" s="33"/>
      <c r="D163" s="30" t="s">
        <v>46</v>
      </c>
      <c r="E163" s="3">
        <v>150</v>
      </c>
      <c r="F163" s="30" t="s">
        <v>9</v>
      </c>
    </row>
    <row r="164" spans="1:6" ht="14.45" customHeight="1">
      <c r="A164" s="35"/>
      <c r="B164" s="36"/>
      <c r="C164" s="33"/>
      <c r="D164" s="30" t="s">
        <v>191</v>
      </c>
      <c r="E164" s="3">
        <v>250</v>
      </c>
      <c r="F164" s="30" t="s">
        <v>32</v>
      </c>
    </row>
    <row r="165" spans="1:6" ht="14.45" customHeight="1">
      <c r="A165" s="35"/>
      <c r="B165" s="36"/>
      <c r="C165" s="33"/>
      <c r="D165" s="30" t="s">
        <v>295</v>
      </c>
      <c r="E165" s="3">
        <v>200</v>
      </c>
      <c r="F165" s="30" t="s">
        <v>9</v>
      </c>
    </row>
    <row r="166" spans="1:6" ht="14.45" customHeight="1">
      <c r="A166" s="35"/>
      <c r="B166" s="36"/>
      <c r="C166" s="33"/>
      <c r="D166" s="30" t="s">
        <v>14</v>
      </c>
      <c r="E166" s="3">
        <v>1</v>
      </c>
      <c r="F166" s="30" t="s">
        <v>13</v>
      </c>
    </row>
    <row r="167" spans="1:6" ht="14.45" customHeight="1">
      <c r="A167" s="35"/>
      <c r="B167" s="36"/>
      <c r="C167" s="33"/>
      <c r="D167" s="30" t="s">
        <v>273</v>
      </c>
      <c r="E167" s="3">
        <v>1</v>
      </c>
      <c r="F167" s="30" t="s">
        <v>47</v>
      </c>
    </row>
    <row r="168" spans="1:6" ht="14.45" customHeight="1">
      <c r="A168" s="35"/>
      <c r="B168" s="36"/>
      <c r="C168" s="33"/>
      <c r="D168" s="30" t="s">
        <v>15</v>
      </c>
      <c r="E168" s="3">
        <v>1</v>
      </c>
      <c r="F168" s="30" t="s">
        <v>13</v>
      </c>
    </row>
    <row r="169" spans="1:6" ht="14.45" customHeight="1">
      <c r="A169" s="35"/>
      <c r="B169" s="36"/>
      <c r="C169" s="33"/>
      <c r="D169" s="30" t="s">
        <v>93</v>
      </c>
      <c r="E169" s="3">
        <v>1</v>
      </c>
      <c r="F169" s="30" t="s">
        <v>47</v>
      </c>
    </row>
    <row r="170" spans="1:6" ht="14.45" customHeight="1">
      <c r="A170" s="35"/>
      <c r="B170" s="36"/>
      <c r="C170" s="33"/>
      <c r="D170" s="30" t="s">
        <v>51</v>
      </c>
      <c r="E170" s="3">
        <v>1</v>
      </c>
      <c r="F170" s="30" t="s">
        <v>13</v>
      </c>
    </row>
    <row r="171" spans="1:6" ht="14.45" customHeight="1">
      <c r="A171" s="35"/>
      <c r="B171" s="36"/>
      <c r="C171" s="34"/>
      <c r="D171" s="30" t="s">
        <v>16</v>
      </c>
      <c r="E171" s="3">
        <v>1</v>
      </c>
      <c r="F171" s="30" t="s">
        <v>13</v>
      </c>
    </row>
    <row r="172" spans="1:6" ht="15">
      <c r="A172" s="35" t="s">
        <v>296</v>
      </c>
      <c r="B172" s="36">
        <v>494</v>
      </c>
      <c r="C172" s="31" t="s">
        <v>297</v>
      </c>
      <c r="D172" s="30" t="s">
        <v>298</v>
      </c>
      <c r="E172" s="3">
        <v>1500</v>
      </c>
      <c r="F172" s="30" t="s">
        <v>9</v>
      </c>
    </row>
    <row r="173" spans="1:6" ht="14.45" customHeight="1">
      <c r="A173" s="35"/>
      <c r="B173" s="36"/>
      <c r="C173" s="33"/>
      <c r="D173" s="30" t="s">
        <v>299</v>
      </c>
      <c r="E173" s="3">
        <v>300</v>
      </c>
      <c r="F173" s="30" t="s">
        <v>9</v>
      </c>
    </row>
    <row r="174" spans="1:6" ht="14.45" customHeight="1">
      <c r="A174" s="35"/>
      <c r="B174" s="36"/>
      <c r="C174" s="33"/>
      <c r="D174" s="30" t="s">
        <v>24</v>
      </c>
      <c r="E174" s="3">
        <v>0.5</v>
      </c>
      <c r="F174" s="30" t="s">
        <v>13</v>
      </c>
    </row>
    <row r="175" spans="1:6" ht="14.45" customHeight="1">
      <c r="A175" s="35"/>
      <c r="B175" s="36"/>
      <c r="C175" s="33"/>
      <c r="D175" s="30" t="s">
        <v>34</v>
      </c>
      <c r="E175" s="3">
        <v>1</v>
      </c>
      <c r="F175" s="30" t="s">
        <v>13</v>
      </c>
    </row>
    <row r="176" spans="1:6" ht="14.45" customHeight="1">
      <c r="A176" s="35"/>
      <c r="B176" s="36"/>
      <c r="C176" s="33"/>
      <c r="D176" s="30" t="s">
        <v>23</v>
      </c>
      <c r="E176" s="3">
        <v>1</v>
      </c>
      <c r="F176" s="30" t="s">
        <v>13</v>
      </c>
    </row>
    <row r="177" spans="1:6" ht="14.45" customHeight="1">
      <c r="A177" s="35"/>
      <c r="B177" s="36"/>
      <c r="C177" s="33"/>
      <c r="D177" s="30" t="s">
        <v>33</v>
      </c>
      <c r="E177" s="3">
        <v>1</v>
      </c>
      <c r="F177" s="30" t="s">
        <v>13</v>
      </c>
    </row>
    <row r="178" spans="1:6" ht="14.45" customHeight="1">
      <c r="A178" s="35"/>
      <c r="B178" s="36"/>
      <c r="C178" s="33"/>
      <c r="D178" s="30" t="s">
        <v>12</v>
      </c>
      <c r="E178" s="3">
        <v>4</v>
      </c>
      <c r="F178" s="30" t="s">
        <v>13</v>
      </c>
    </row>
    <row r="179" spans="1:6" ht="14.45" customHeight="1">
      <c r="A179" s="35"/>
      <c r="B179" s="36"/>
      <c r="C179" s="33"/>
      <c r="D179" s="30" t="s">
        <v>100</v>
      </c>
      <c r="E179" s="3">
        <v>1</v>
      </c>
      <c r="F179" s="30" t="s">
        <v>13</v>
      </c>
    </row>
    <row r="180" spans="1:6" ht="14.45" customHeight="1">
      <c r="A180" s="35"/>
      <c r="B180" s="36"/>
      <c r="C180" s="33"/>
      <c r="D180" s="30" t="s">
        <v>300</v>
      </c>
      <c r="E180" s="3">
        <v>250</v>
      </c>
      <c r="F180" s="30" t="s">
        <v>32</v>
      </c>
    </row>
    <row r="181" spans="1:6" ht="14.45" customHeight="1">
      <c r="A181" s="35"/>
      <c r="B181" s="36"/>
      <c r="C181" s="33"/>
      <c r="D181" s="30" t="s">
        <v>60</v>
      </c>
      <c r="E181" s="3">
        <v>2</v>
      </c>
      <c r="F181" s="30" t="s">
        <v>13</v>
      </c>
    </row>
    <row r="182" spans="1:6" ht="14.45" customHeight="1">
      <c r="A182" s="35"/>
      <c r="B182" s="36"/>
      <c r="C182" s="33"/>
      <c r="D182" s="30" t="s">
        <v>14</v>
      </c>
      <c r="E182" s="3">
        <v>1</v>
      </c>
      <c r="F182" s="30" t="s">
        <v>13</v>
      </c>
    </row>
    <row r="183" spans="1:6" ht="14.45" customHeight="1">
      <c r="A183" s="35"/>
      <c r="B183" s="36"/>
      <c r="C183" s="33"/>
      <c r="D183" s="30" t="s">
        <v>285</v>
      </c>
      <c r="E183" s="3">
        <v>1</v>
      </c>
      <c r="F183" s="30" t="s">
        <v>13</v>
      </c>
    </row>
    <row r="184" spans="1:6" ht="14.45" customHeight="1">
      <c r="A184" s="35"/>
      <c r="B184" s="36"/>
      <c r="C184" s="33"/>
      <c r="D184" s="30" t="s">
        <v>273</v>
      </c>
      <c r="E184" s="3">
        <v>1</v>
      </c>
      <c r="F184" s="30" t="s">
        <v>13</v>
      </c>
    </row>
    <row r="185" spans="1:6" ht="14.45" customHeight="1">
      <c r="A185" s="35"/>
      <c r="B185" s="36"/>
      <c r="C185" s="33"/>
      <c r="D185" s="30" t="s">
        <v>15</v>
      </c>
      <c r="E185" s="3">
        <v>1</v>
      </c>
      <c r="F185" s="30" t="s">
        <v>13</v>
      </c>
    </row>
    <row r="186" spans="1:6" ht="14.45" customHeight="1">
      <c r="A186" s="35"/>
      <c r="B186" s="36"/>
      <c r="C186" s="33"/>
      <c r="D186" s="30" t="s">
        <v>51</v>
      </c>
      <c r="E186" s="3">
        <v>15</v>
      </c>
      <c r="F186" s="30" t="s">
        <v>13</v>
      </c>
    </row>
    <row r="187" spans="1:6" ht="14.45" customHeight="1">
      <c r="A187" s="35"/>
      <c r="B187" s="36"/>
      <c r="C187" s="34"/>
      <c r="D187" s="30" t="s">
        <v>16</v>
      </c>
      <c r="E187" s="3">
        <v>1</v>
      </c>
      <c r="F187" s="30" t="s">
        <v>13</v>
      </c>
    </row>
    <row r="188" spans="1:6" ht="15">
      <c r="A188" s="35" t="s">
        <v>301</v>
      </c>
      <c r="B188" s="36">
        <v>506</v>
      </c>
      <c r="C188" s="31" t="s">
        <v>302</v>
      </c>
      <c r="D188" s="30" t="s">
        <v>303</v>
      </c>
      <c r="E188" s="3">
        <v>800</v>
      </c>
      <c r="F188" s="30" t="s">
        <v>9</v>
      </c>
    </row>
    <row r="189" spans="1:6" ht="14.45" customHeight="1">
      <c r="A189" s="35"/>
      <c r="B189" s="36"/>
      <c r="C189" s="33"/>
      <c r="D189" s="30" t="s">
        <v>60</v>
      </c>
      <c r="E189" s="3">
        <v>4</v>
      </c>
      <c r="F189" s="30" t="s">
        <v>13</v>
      </c>
    </row>
    <row r="190" spans="1:6" ht="14.45" customHeight="1">
      <c r="A190" s="35"/>
      <c r="B190" s="36"/>
      <c r="C190" s="33"/>
      <c r="D190" s="30" t="s">
        <v>256</v>
      </c>
      <c r="E190" s="3">
        <v>15</v>
      </c>
      <c r="F190" s="30" t="s">
        <v>9</v>
      </c>
    </row>
    <row r="191" spans="1:6" ht="14.45" customHeight="1">
      <c r="A191" s="35"/>
      <c r="B191" s="36"/>
      <c r="C191" s="33"/>
      <c r="D191" s="30" t="s">
        <v>304</v>
      </c>
      <c r="E191" s="3">
        <v>125</v>
      </c>
      <c r="F191" s="30" t="s">
        <v>32</v>
      </c>
    </row>
    <row r="192" spans="1:6" ht="14.45" customHeight="1">
      <c r="A192" s="35"/>
      <c r="B192" s="36"/>
      <c r="C192" s="33"/>
      <c r="D192" s="30" t="s">
        <v>207</v>
      </c>
      <c r="E192" s="3">
        <v>1</v>
      </c>
      <c r="F192" s="30" t="s">
        <v>13</v>
      </c>
    </row>
    <row r="193" spans="1:6" ht="14.45" customHeight="1">
      <c r="A193" s="35"/>
      <c r="B193" s="36"/>
      <c r="C193" s="33"/>
      <c r="D193" s="30" t="s">
        <v>61</v>
      </c>
      <c r="E193" s="3">
        <v>1</v>
      </c>
      <c r="F193" s="30" t="s">
        <v>47</v>
      </c>
    </row>
    <row r="194" spans="1:6" ht="14.45" customHeight="1">
      <c r="A194" s="35"/>
      <c r="B194" s="36"/>
      <c r="C194" s="33"/>
      <c r="D194" s="30" t="s">
        <v>156</v>
      </c>
      <c r="E194" s="3">
        <v>125</v>
      </c>
      <c r="F194" s="30" t="s">
        <v>32</v>
      </c>
    </row>
    <row r="195" spans="1:6" ht="14.45" customHeight="1">
      <c r="A195" s="35"/>
      <c r="B195" s="36"/>
      <c r="C195" s="33"/>
      <c r="D195" s="30" t="s">
        <v>75</v>
      </c>
      <c r="E195" s="3">
        <v>40</v>
      </c>
      <c r="F195" s="30" t="s">
        <v>9</v>
      </c>
    </row>
    <row r="196" spans="1:6" ht="14.45" customHeight="1">
      <c r="A196" s="35"/>
      <c r="B196" s="36"/>
      <c r="C196" s="33"/>
      <c r="D196" s="30" t="s">
        <v>14</v>
      </c>
      <c r="E196" s="3">
        <v>1</v>
      </c>
      <c r="F196" s="30" t="s">
        <v>13</v>
      </c>
    </row>
    <row r="197" spans="1:6" ht="14.45" customHeight="1">
      <c r="A197" s="35"/>
      <c r="B197" s="36"/>
      <c r="C197" s="33"/>
      <c r="D197" s="30" t="s">
        <v>273</v>
      </c>
      <c r="E197" s="3">
        <v>2</v>
      </c>
      <c r="F197" s="30" t="s">
        <v>13</v>
      </c>
    </row>
    <row r="198" spans="1:6" ht="14.45" customHeight="1">
      <c r="A198" s="35"/>
      <c r="B198" s="36"/>
      <c r="C198" s="33"/>
      <c r="D198" s="30" t="s">
        <v>285</v>
      </c>
      <c r="E198" s="3">
        <v>1</v>
      </c>
      <c r="F198" s="30" t="s">
        <v>13</v>
      </c>
    </row>
    <row r="199" spans="1:6" ht="14.45" customHeight="1">
      <c r="A199" s="35"/>
      <c r="B199" s="36"/>
      <c r="C199" s="33"/>
      <c r="D199" s="30" t="s">
        <v>15</v>
      </c>
      <c r="E199" s="3">
        <v>1</v>
      </c>
      <c r="F199" s="30" t="s">
        <v>13</v>
      </c>
    </row>
    <row r="200" spans="1:6" ht="14.45" customHeight="1">
      <c r="A200" s="35"/>
      <c r="B200" s="36"/>
      <c r="C200" s="33"/>
      <c r="D200" s="30" t="s">
        <v>51</v>
      </c>
      <c r="E200" s="3">
        <v>1</v>
      </c>
      <c r="F200" s="30" t="s">
        <v>13</v>
      </c>
    </row>
    <row r="201" spans="1:6" ht="14.45" customHeight="1">
      <c r="A201" s="35"/>
      <c r="B201" s="36"/>
      <c r="C201" s="34"/>
      <c r="D201" s="30" t="s">
        <v>16</v>
      </c>
      <c r="E201" s="3">
        <v>1</v>
      </c>
      <c r="F201" s="30" t="s">
        <v>13</v>
      </c>
    </row>
    <row r="202" spans="1:6" ht="15">
      <c r="A202" s="35" t="s">
        <v>305</v>
      </c>
      <c r="B202" s="36">
        <v>514</v>
      </c>
      <c r="C202" s="31" t="s">
        <v>306</v>
      </c>
      <c r="D202" s="30" t="s">
        <v>30</v>
      </c>
      <c r="E202" s="3">
        <v>750</v>
      </c>
      <c r="F202" s="30" t="s">
        <v>9</v>
      </c>
    </row>
    <row r="203" spans="1:6" ht="14.45" customHeight="1">
      <c r="A203" s="35"/>
      <c r="B203" s="36"/>
      <c r="C203" s="33"/>
      <c r="D203" s="30" t="s">
        <v>307</v>
      </c>
      <c r="E203" s="3">
        <v>2</v>
      </c>
      <c r="F203" s="30" t="s">
        <v>13</v>
      </c>
    </row>
    <row r="204" spans="1:6" ht="14.45" customHeight="1">
      <c r="A204" s="35"/>
      <c r="B204" s="36"/>
      <c r="C204" s="33"/>
      <c r="D204" s="30" t="s">
        <v>308</v>
      </c>
      <c r="E204" s="3">
        <v>1</v>
      </c>
      <c r="F204" s="30" t="s">
        <v>47</v>
      </c>
    </row>
    <row r="205" spans="1:6" ht="14.45" customHeight="1">
      <c r="A205" s="35"/>
      <c r="B205" s="36"/>
      <c r="C205" s="33"/>
      <c r="D205" s="30" t="s">
        <v>309</v>
      </c>
      <c r="E205" s="3">
        <v>1</v>
      </c>
      <c r="F205" s="30" t="s">
        <v>13</v>
      </c>
    </row>
    <row r="206" spans="1:6" ht="14.45" customHeight="1">
      <c r="A206" s="35"/>
      <c r="B206" s="36"/>
      <c r="C206" s="33"/>
      <c r="D206" s="30" t="s">
        <v>74</v>
      </c>
      <c r="E206" s="3">
        <v>1</v>
      </c>
      <c r="F206" s="30" t="s">
        <v>13</v>
      </c>
    </row>
    <row r="207" spans="1:6" ht="14.45" customHeight="1">
      <c r="A207" s="35"/>
      <c r="B207" s="36"/>
      <c r="C207" s="33"/>
      <c r="D207" s="30" t="s">
        <v>80</v>
      </c>
      <c r="E207" s="3">
        <v>50</v>
      </c>
      <c r="F207" s="30" t="s">
        <v>9</v>
      </c>
    </row>
    <row r="208" spans="1:6" ht="14.45" customHeight="1">
      <c r="A208" s="35"/>
      <c r="B208" s="36"/>
      <c r="C208" s="33"/>
      <c r="D208" s="30" t="s">
        <v>63</v>
      </c>
      <c r="E208" s="3">
        <v>20</v>
      </c>
      <c r="F208" s="30" t="s">
        <v>9</v>
      </c>
    </row>
    <row r="209" spans="1:6" ht="14.45" customHeight="1">
      <c r="A209" s="35"/>
      <c r="B209" s="36"/>
      <c r="C209" s="33"/>
      <c r="D209" s="30" t="s">
        <v>207</v>
      </c>
      <c r="E209" s="3">
        <v>1</v>
      </c>
      <c r="F209" s="30" t="s">
        <v>13</v>
      </c>
    </row>
    <row r="210" spans="1:6" ht="14.45" customHeight="1">
      <c r="A210" s="35"/>
      <c r="B210" s="36"/>
      <c r="C210" s="33"/>
      <c r="D210" s="30" t="s">
        <v>217</v>
      </c>
      <c r="E210" s="3">
        <v>500</v>
      </c>
      <c r="F210" s="30" t="s">
        <v>32</v>
      </c>
    </row>
    <row r="211" spans="1:6" ht="14.45" customHeight="1">
      <c r="A211" s="35"/>
      <c r="B211" s="36"/>
      <c r="C211" s="33"/>
      <c r="D211" s="30" t="s">
        <v>61</v>
      </c>
      <c r="E211" s="3">
        <v>100</v>
      </c>
      <c r="F211" s="30" t="s">
        <v>9</v>
      </c>
    </row>
    <row r="212" spans="1:6" ht="14.45" customHeight="1">
      <c r="A212" s="35"/>
      <c r="B212" s="36"/>
      <c r="C212" s="33"/>
      <c r="D212" s="30" t="s">
        <v>14</v>
      </c>
      <c r="E212" s="3">
        <v>1</v>
      </c>
      <c r="F212" s="30" t="s">
        <v>13</v>
      </c>
    </row>
    <row r="213" spans="1:6" ht="14.45" customHeight="1">
      <c r="A213" s="35"/>
      <c r="B213" s="36"/>
      <c r="C213" s="33"/>
      <c r="D213" s="30" t="s">
        <v>15</v>
      </c>
      <c r="E213" s="3">
        <v>1</v>
      </c>
      <c r="F213" s="30" t="s">
        <v>13</v>
      </c>
    </row>
    <row r="214" spans="1:6" ht="14.45" customHeight="1">
      <c r="A214" s="35"/>
      <c r="B214" s="36"/>
      <c r="C214" s="33"/>
      <c r="D214" s="30" t="s">
        <v>51</v>
      </c>
      <c r="E214" s="3">
        <v>1</v>
      </c>
      <c r="F214" s="30" t="s">
        <v>13</v>
      </c>
    </row>
    <row r="215" spans="1:6" ht="14.45" customHeight="1">
      <c r="A215" s="35"/>
      <c r="B215" s="36"/>
      <c r="C215" s="33"/>
      <c r="D215" s="30" t="s">
        <v>163</v>
      </c>
      <c r="E215" s="3">
        <v>1</v>
      </c>
      <c r="F215" s="30" t="s">
        <v>47</v>
      </c>
    </row>
    <row r="216" spans="1:6" ht="14.45" customHeight="1">
      <c r="A216" s="35"/>
      <c r="B216" s="36"/>
      <c r="C216" s="34"/>
      <c r="D216" s="30" t="s">
        <v>16</v>
      </c>
      <c r="E216" s="3">
        <v>1</v>
      </c>
      <c r="F216" s="30" t="s">
        <v>13</v>
      </c>
    </row>
    <row r="217" spans="1:6" ht="15"/>
  </sheetData>
  <mergeCells count="42">
    <mergeCell ref="B2:B14"/>
    <mergeCell ref="A2:A14"/>
    <mergeCell ref="B15:B35"/>
    <mergeCell ref="A15:A35"/>
    <mergeCell ref="B36:B47"/>
    <mergeCell ref="A36:A47"/>
    <mergeCell ref="B48:B65"/>
    <mergeCell ref="A48:A65"/>
    <mergeCell ref="B66:B82"/>
    <mergeCell ref="A66:A82"/>
    <mergeCell ref="B83:B96"/>
    <mergeCell ref="A83:A96"/>
    <mergeCell ref="B97:B114"/>
    <mergeCell ref="A97:A114"/>
    <mergeCell ref="B115:B128"/>
    <mergeCell ref="A115:A128"/>
    <mergeCell ref="B129:B146"/>
    <mergeCell ref="A129:A146"/>
    <mergeCell ref="B188:B201"/>
    <mergeCell ref="A188:A201"/>
    <mergeCell ref="B202:B216"/>
    <mergeCell ref="A202:A216"/>
    <mergeCell ref="B147:B159"/>
    <mergeCell ref="A147:A159"/>
    <mergeCell ref="B160:B171"/>
    <mergeCell ref="A160:A171"/>
    <mergeCell ref="B172:B187"/>
    <mergeCell ref="A172:A187"/>
    <mergeCell ref="C2:C14"/>
    <mergeCell ref="C15:C35"/>
    <mergeCell ref="C36:C47"/>
    <mergeCell ref="C48:C65"/>
    <mergeCell ref="C66:C82"/>
    <mergeCell ref="C160:C171"/>
    <mergeCell ref="C172:C187"/>
    <mergeCell ref="C188:C201"/>
    <mergeCell ref="C202:C216"/>
    <mergeCell ref="C83:C96"/>
    <mergeCell ref="C97:C114"/>
    <mergeCell ref="C115:C128"/>
    <mergeCell ref="C129:C146"/>
    <mergeCell ref="C147:C159"/>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ED69396-AEFB-47E7-ACEB-F5F6B062BC31}">
          <x14:formula1>
            <xm:f>Otros!$B$3:$B$6</xm:f>
          </x14:formula1>
          <xm:sqref>F2:F1048576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D76CA-B1D1-4483-A288-0D6F5583FCA8}">
  <dimension ref="A1:F186"/>
  <sheetViews>
    <sheetView workbookViewId="0">
      <pane ySplit="1" topLeftCell="A170" activePane="bottomLeft" state="frozen"/>
      <selection pane="bottomLeft" activeCell="C187" sqref="C187"/>
      <selection activeCell="B2" sqref="B2:B28"/>
    </sheetView>
  </sheetViews>
  <sheetFormatPr defaultColWidth="11.5703125" defaultRowHeight="15" customHeight="1"/>
  <cols>
    <col min="1" max="1" width="39.7109375" style="7" bestFit="1" customWidth="1"/>
    <col min="2" max="3" width="10.28515625" style="7" customWidth="1"/>
    <col min="4" max="4" width="17.85546875" style="11" bestFit="1" customWidth="1"/>
    <col min="5" max="5" width="11.5703125" style="13"/>
    <col min="6" max="6" width="11.5703125" style="7"/>
    <col min="7" max="16384" width="11.5703125" style="9"/>
  </cols>
  <sheetData>
    <row r="1" spans="1:6">
      <c r="A1" s="30" t="str">
        <f>Sopas!A1</f>
        <v>Plato</v>
      </c>
      <c r="B1" s="30" t="s">
        <v>1</v>
      </c>
      <c r="C1" s="30" t="s">
        <v>2</v>
      </c>
      <c r="D1" s="30" t="str">
        <f>Sopas!D1</f>
        <v>Ingredientes</v>
      </c>
      <c r="E1" s="3" t="str">
        <f>Sopas!E1</f>
        <v>Cantidades</v>
      </c>
      <c r="F1" s="30" t="str">
        <f>Sopas!F1</f>
        <v>Unidades</v>
      </c>
    </row>
    <row r="2" spans="1:6">
      <c r="A2" s="36" t="s">
        <v>310</v>
      </c>
      <c r="B2" s="36">
        <v>529</v>
      </c>
      <c r="C2" s="31" t="s">
        <v>311</v>
      </c>
      <c r="D2" s="30" t="s">
        <v>312</v>
      </c>
      <c r="E2" s="3">
        <v>800</v>
      </c>
      <c r="F2" s="30" t="s">
        <v>9</v>
      </c>
    </row>
    <row r="3" spans="1:6">
      <c r="A3" s="36"/>
      <c r="B3" s="36"/>
      <c r="C3" s="33"/>
      <c r="D3" s="2" t="s">
        <v>313</v>
      </c>
      <c r="E3" s="4">
        <v>100</v>
      </c>
      <c r="F3" s="30" t="s">
        <v>9</v>
      </c>
    </row>
    <row r="4" spans="1:6">
      <c r="A4" s="36"/>
      <c r="B4" s="36"/>
      <c r="C4" s="33"/>
      <c r="D4" s="2" t="s">
        <v>12</v>
      </c>
      <c r="E4" s="4">
        <v>4</v>
      </c>
      <c r="F4" s="30" t="s">
        <v>13</v>
      </c>
    </row>
    <row r="5" spans="1:6">
      <c r="A5" s="36"/>
      <c r="B5" s="36"/>
      <c r="C5" s="33"/>
      <c r="D5" s="2" t="s">
        <v>24</v>
      </c>
      <c r="E5" s="4">
        <v>2</v>
      </c>
      <c r="F5" s="30" t="s">
        <v>13</v>
      </c>
    </row>
    <row r="6" spans="1:6">
      <c r="A6" s="36"/>
      <c r="B6" s="36"/>
      <c r="C6" s="33"/>
      <c r="D6" s="2" t="s">
        <v>314</v>
      </c>
      <c r="E6" s="4">
        <v>2</v>
      </c>
      <c r="F6" s="30" t="s">
        <v>13</v>
      </c>
    </row>
    <row r="7" spans="1:6">
      <c r="A7" s="36"/>
      <c r="B7" s="36"/>
      <c r="C7" s="33"/>
      <c r="D7" s="2" t="s">
        <v>222</v>
      </c>
      <c r="E7" s="4">
        <v>800</v>
      </c>
      <c r="F7" s="30" t="s">
        <v>9</v>
      </c>
    </row>
    <row r="8" spans="1:6">
      <c r="A8" s="36"/>
      <c r="B8" s="36"/>
      <c r="C8" s="33"/>
      <c r="D8" s="2" t="s">
        <v>14</v>
      </c>
      <c r="E8" s="4">
        <v>1</v>
      </c>
      <c r="F8" s="30" t="s">
        <v>13</v>
      </c>
    </row>
    <row r="9" spans="1:6">
      <c r="A9" s="36"/>
      <c r="B9" s="36"/>
      <c r="C9" s="33"/>
      <c r="D9" s="2" t="s">
        <v>15</v>
      </c>
      <c r="E9" s="4">
        <v>1</v>
      </c>
      <c r="F9" s="30" t="s">
        <v>13</v>
      </c>
    </row>
    <row r="10" spans="1:6">
      <c r="A10" s="36"/>
      <c r="B10" s="36"/>
      <c r="C10" s="34"/>
      <c r="D10" s="2" t="s">
        <v>16</v>
      </c>
      <c r="E10" s="4">
        <v>1</v>
      </c>
      <c r="F10" s="30" t="s">
        <v>13</v>
      </c>
    </row>
    <row r="11" spans="1:6">
      <c r="A11" s="36" t="s">
        <v>315</v>
      </c>
      <c r="B11" s="36">
        <v>536</v>
      </c>
      <c r="C11" s="31" t="s">
        <v>316</v>
      </c>
      <c r="D11" s="2" t="s">
        <v>312</v>
      </c>
      <c r="E11" s="4">
        <v>800</v>
      </c>
      <c r="F11" s="30" t="s">
        <v>9</v>
      </c>
    </row>
    <row r="12" spans="1:6">
      <c r="A12" s="36"/>
      <c r="B12" s="36"/>
      <c r="C12" s="33"/>
      <c r="D12" s="2" t="s">
        <v>12</v>
      </c>
      <c r="E12" s="4">
        <v>24</v>
      </c>
      <c r="F12" s="30" t="s">
        <v>13</v>
      </c>
    </row>
    <row r="13" spans="1:6">
      <c r="A13" s="36"/>
      <c r="B13" s="36"/>
      <c r="C13" s="33"/>
      <c r="D13" s="2" t="s">
        <v>131</v>
      </c>
      <c r="E13" s="4">
        <v>4</v>
      </c>
      <c r="F13" s="30" t="s">
        <v>13</v>
      </c>
    </row>
    <row r="14" spans="1:6">
      <c r="A14" s="36"/>
      <c r="B14" s="36"/>
      <c r="C14" s="33"/>
      <c r="D14" s="2" t="s">
        <v>74</v>
      </c>
      <c r="E14" s="4">
        <v>1</v>
      </c>
      <c r="F14" s="30" t="s">
        <v>13</v>
      </c>
    </row>
    <row r="15" spans="1:6">
      <c r="A15" s="36"/>
      <c r="B15" s="36"/>
      <c r="C15" s="33"/>
      <c r="D15" s="2" t="s">
        <v>61</v>
      </c>
      <c r="E15" s="4">
        <v>1</v>
      </c>
      <c r="F15" s="30" t="s">
        <v>13</v>
      </c>
    </row>
    <row r="16" spans="1:6">
      <c r="A16" s="36"/>
      <c r="B16" s="36"/>
      <c r="C16" s="33"/>
      <c r="D16" s="2" t="s">
        <v>317</v>
      </c>
      <c r="E16" s="4">
        <v>175</v>
      </c>
      <c r="F16" s="30" t="s">
        <v>9</v>
      </c>
    </row>
    <row r="17" spans="1:6">
      <c r="A17" s="36"/>
      <c r="B17" s="36"/>
      <c r="C17" s="33"/>
      <c r="D17" s="2" t="s">
        <v>14</v>
      </c>
      <c r="E17" s="4">
        <v>1</v>
      </c>
      <c r="F17" s="30" t="s">
        <v>13</v>
      </c>
    </row>
    <row r="18" spans="1:6">
      <c r="A18" s="36"/>
      <c r="B18" s="36"/>
      <c r="C18" s="33"/>
      <c r="D18" s="2" t="s">
        <v>56</v>
      </c>
      <c r="E18" s="4">
        <v>1</v>
      </c>
      <c r="F18" s="30" t="s">
        <v>47</v>
      </c>
    </row>
    <row r="19" spans="1:6">
      <c r="A19" s="36"/>
      <c r="B19" s="36"/>
      <c r="C19" s="33"/>
      <c r="D19" s="2" t="s">
        <v>15</v>
      </c>
      <c r="E19" s="4">
        <v>1</v>
      </c>
      <c r="F19" s="30" t="s">
        <v>13</v>
      </c>
    </row>
    <row r="20" spans="1:6">
      <c r="A20" s="36"/>
      <c r="B20" s="36"/>
      <c r="C20" s="33"/>
      <c r="D20" s="2" t="s">
        <v>93</v>
      </c>
      <c r="E20" s="4">
        <v>1</v>
      </c>
      <c r="F20" s="30" t="s">
        <v>47</v>
      </c>
    </row>
    <row r="21" spans="1:6">
      <c r="A21" s="36"/>
      <c r="B21" s="36"/>
      <c r="C21" s="34"/>
      <c r="D21" s="2" t="s">
        <v>16</v>
      </c>
      <c r="E21" s="4">
        <v>1</v>
      </c>
      <c r="F21" s="30" t="s">
        <v>13</v>
      </c>
    </row>
    <row r="22" spans="1:6">
      <c r="A22" s="36" t="s">
        <v>318</v>
      </c>
      <c r="B22" s="36">
        <v>541</v>
      </c>
      <c r="C22" s="31" t="s">
        <v>319</v>
      </c>
      <c r="D22" s="2" t="s">
        <v>216</v>
      </c>
      <c r="E22" s="4">
        <v>800</v>
      </c>
      <c r="F22" s="30" t="s">
        <v>9</v>
      </c>
    </row>
    <row r="23" spans="1:6">
      <c r="A23" s="36"/>
      <c r="B23" s="36"/>
      <c r="C23" s="33"/>
      <c r="D23" s="2" t="s">
        <v>207</v>
      </c>
      <c r="E23" s="4">
        <v>1</v>
      </c>
      <c r="F23" s="30" t="s">
        <v>13</v>
      </c>
    </row>
    <row r="24" spans="1:6">
      <c r="A24" s="36"/>
      <c r="B24" s="36"/>
      <c r="C24" s="33"/>
      <c r="D24" s="2" t="s">
        <v>12</v>
      </c>
      <c r="E24" s="4">
        <v>1</v>
      </c>
      <c r="F24" s="30" t="s">
        <v>13</v>
      </c>
    </row>
    <row r="25" spans="1:6">
      <c r="A25" s="36"/>
      <c r="B25" s="36"/>
      <c r="C25" s="33"/>
      <c r="D25" s="2" t="s">
        <v>14</v>
      </c>
      <c r="E25" s="4">
        <v>175</v>
      </c>
      <c r="F25" s="30" t="s">
        <v>32</v>
      </c>
    </row>
    <row r="26" spans="1:6">
      <c r="A26" s="36"/>
      <c r="B26" s="36"/>
      <c r="C26" s="33"/>
      <c r="D26" s="2" t="s">
        <v>273</v>
      </c>
      <c r="E26" s="4">
        <v>2</v>
      </c>
      <c r="F26" s="30" t="s">
        <v>13</v>
      </c>
    </row>
    <row r="27" spans="1:6">
      <c r="A27" s="36"/>
      <c r="B27" s="36"/>
      <c r="C27" s="33"/>
      <c r="D27" s="2" t="s">
        <v>320</v>
      </c>
      <c r="E27" s="4">
        <v>6</v>
      </c>
      <c r="F27" s="30" t="s">
        <v>13</v>
      </c>
    </row>
    <row r="28" spans="1:6">
      <c r="A28" s="36"/>
      <c r="B28" s="36"/>
      <c r="C28" s="33"/>
      <c r="D28" s="2" t="s">
        <v>15</v>
      </c>
      <c r="E28" s="4">
        <v>1</v>
      </c>
      <c r="F28" s="30" t="s">
        <v>13</v>
      </c>
    </row>
    <row r="29" spans="1:6">
      <c r="A29" s="36"/>
      <c r="B29" s="36"/>
      <c r="C29" s="33"/>
      <c r="D29" s="2" t="s">
        <v>51</v>
      </c>
      <c r="E29" s="4">
        <v>1</v>
      </c>
      <c r="F29" s="30" t="s">
        <v>13</v>
      </c>
    </row>
    <row r="30" spans="1:6">
      <c r="A30" s="36"/>
      <c r="B30" s="36"/>
      <c r="C30" s="33"/>
      <c r="D30" s="2" t="s">
        <v>16</v>
      </c>
      <c r="E30" s="4">
        <v>1</v>
      </c>
      <c r="F30" s="30" t="s">
        <v>13</v>
      </c>
    </row>
    <row r="31" spans="1:6">
      <c r="A31" s="36"/>
      <c r="B31" s="36"/>
      <c r="C31" s="33"/>
      <c r="D31" s="2" t="s">
        <v>227</v>
      </c>
      <c r="E31" s="4">
        <v>1</v>
      </c>
      <c r="F31" s="30" t="s">
        <v>13</v>
      </c>
    </row>
    <row r="32" spans="1:6">
      <c r="A32" s="36"/>
      <c r="B32" s="36"/>
      <c r="C32" s="33"/>
      <c r="D32" s="2" t="s">
        <v>321</v>
      </c>
      <c r="E32" s="4">
        <v>1</v>
      </c>
      <c r="F32" s="30" t="s">
        <v>13</v>
      </c>
    </row>
    <row r="33" spans="1:6">
      <c r="A33" s="36"/>
      <c r="B33" s="36"/>
      <c r="C33" s="33"/>
      <c r="D33" s="2" t="s">
        <v>322</v>
      </c>
      <c r="E33" s="4">
        <v>1</v>
      </c>
      <c r="F33" s="30" t="s">
        <v>47</v>
      </c>
    </row>
    <row r="34" spans="1:6">
      <c r="A34" s="36"/>
      <c r="B34" s="36"/>
      <c r="C34" s="33"/>
      <c r="D34" s="2" t="s">
        <v>115</v>
      </c>
      <c r="E34" s="4">
        <v>0.5</v>
      </c>
      <c r="F34" s="30" t="s">
        <v>13</v>
      </c>
    </row>
    <row r="35" spans="1:6">
      <c r="A35" s="36"/>
      <c r="B35" s="36"/>
      <c r="C35" s="33"/>
      <c r="D35" s="2" t="s">
        <v>323</v>
      </c>
      <c r="E35" s="4">
        <v>8</v>
      </c>
      <c r="F35" s="30" t="s">
        <v>13</v>
      </c>
    </row>
    <row r="36" spans="1:6">
      <c r="A36" s="36"/>
      <c r="B36" s="36"/>
      <c r="C36" s="34"/>
      <c r="D36" s="2" t="s">
        <v>16</v>
      </c>
      <c r="E36" s="4">
        <v>1</v>
      </c>
      <c r="F36" s="30" t="s">
        <v>13</v>
      </c>
    </row>
    <row r="37" spans="1:6">
      <c r="A37" s="36" t="s">
        <v>324</v>
      </c>
      <c r="B37" s="36">
        <v>548</v>
      </c>
      <c r="C37" s="31" t="s">
        <v>325</v>
      </c>
      <c r="D37" s="2" t="s">
        <v>312</v>
      </c>
      <c r="E37" s="4">
        <v>800</v>
      </c>
      <c r="F37" s="30" t="s">
        <v>9</v>
      </c>
    </row>
    <row r="38" spans="1:6">
      <c r="A38" s="36"/>
      <c r="B38" s="36"/>
      <c r="C38" s="33"/>
      <c r="D38" s="2" t="s">
        <v>326</v>
      </c>
      <c r="E38" s="4">
        <v>120</v>
      </c>
      <c r="F38" s="30" t="s">
        <v>9</v>
      </c>
    </row>
    <row r="39" spans="1:6">
      <c r="A39" s="36"/>
      <c r="B39" s="36"/>
      <c r="C39" s="33"/>
      <c r="D39" s="2" t="s">
        <v>327</v>
      </c>
      <c r="E39" s="4">
        <v>0.25</v>
      </c>
      <c r="F39" s="30" t="s">
        <v>13</v>
      </c>
    </row>
    <row r="40" spans="1:6">
      <c r="A40" s="36"/>
      <c r="B40" s="36"/>
      <c r="C40" s="33"/>
      <c r="D40" s="2" t="s">
        <v>207</v>
      </c>
      <c r="E40" s="4">
        <v>1</v>
      </c>
      <c r="F40" s="30" t="s">
        <v>13</v>
      </c>
    </row>
    <row r="41" spans="1:6">
      <c r="A41" s="36"/>
      <c r="B41" s="36"/>
      <c r="C41" s="33"/>
      <c r="D41" s="2" t="s">
        <v>33</v>
      </c>
      <c r="E41" s="4">
        <v>1</v>
      </c>
      <c r="F41" s="30" t="s">
        <v>13</v>
      </c>
    </row>
    <row r="42" spans="1:6">
      <c r="A42" s="36"/>
      <c r="B42" s="36"/>
      <c r="C42" s="33"/>
      <c r="D42" s="2" t="s">
        <v>14</v>
      </c>
      <c r="E42" s="4">
        <v>1</v>
      </c>
      <c r="F42" s="30" t="s">
        <v>13</v>
      </c>
    </row>
    <row r="43" spans="1:6">
      <c r="A43" s="36"/>
      <c r="B43" s="36"/>
      <c r="C43" s="33"/>
      <c r="D43" s="2" t="s">
        <v>15</v>
      </c>
      <c r="E43" s="4">
        <v>1</v>
      </c>
      <c r="F43" s="30" t="s">
        <v>13</v>
      </c>
    </row>
    <row r="44" spans="1:6">
      <c r="A44" s="36"/>
      <c r="B44" s="36"/>
      <c r="C44" s="33"/>
      <c r="D44" s="2" t="s">
        <v>51</v>
      </c>
      <c r="E44" s="4">
        <v>1</v>
      </c>
      <c r="F44" s="30" t="s">
        <v>13</v>
      </c>
    </row>
    <row r="45" spans="1:6">
      <c r="A45" s="36"/>
      <c r="B45" s="36"/>
      <c r="C45" s="34"/>
      <c r="D45" s="2" t="s">
        <v>16</v>
      </c>
      <c r="E45" s="4">
        <v>1</v>
      </c>
      <c r="F45" s="30" t="s">
        <v>13</v>
      </c>
    </row>
    <row r="46" spans="1:6">
      <c r="A46" s="36" t="s">
        <v>328</v>
      </c>
      <c r="B46" s="36">
        <v>550</v>
      </c>
      <c r="C46" s="31" t="s">
        <v>329</v>
      </c>
      <c r="D46" s="2" t="s">
        <v>216</v>
      </c>
      <c r="E46" s="4">
        <v>400</v>
      </c>
      <c r="F46" s="30" t="s">
        <v>9</v>
      </c>
    </row>
    <row r="47" spans="1:6">
      <c r="A47" s="36"/>
      <c r="B47" s="36"/>
      <c r="C47" s="33"/>
      <c r="D47" s="2" t="s">
        <v>330</v>
      </c>
      <c r="E47" s="4">
        <v>50</v>
      </c>
      <c r="F47" s="30" t="s">
        <v>9</v>
      </c>
    </row>
    <row r="48" spans="1:6">
      <c r="A48" s="36"/>
      <c r="B48" s="36"/>
      <c r="C48" s="33"/>
      <c r="D48" s="2" t="s">
        <v>331</v>
      </c>
      <c r="E48" s="4">
        <v>4</v>
      </c>
      <c r="F48" s="30" t="s">
        <v>13</v>
      </c>
    </row>
    <row r="49" spans="1:6">
      <c r="A49" s="36"/>
      <c r="B49" s="36"/>
      <c r="C49" s="33"/>
      <c r="D49" s="2" t="s">
        <v>207</v>
      </c>
      <c r="E49" s="4">
        <v>1</v>
      </c>
      <c r="F49" s="30" t="s">
        <v>13</v>
      </c>
    </row>
    <row r="50" spans="1:6">
      <c r="A50" s="36"/>
      <c r="B50" s="36"/>
      <c r="C50" s="33"/>
      <c r="D50" s="2" t="s">
        <v>61</v>
      </c>
      <c r="E50" s="4">
        <v>1</v>
      </c>
      <c r="F50" s="30" t="s">
        <v>13</v>
      </c>
    </row>
    <row r="51" spans="1:6">
      <c r="A51" s="36"/>
      <c r="B51" s="36"/>
      <c r="C51" s="33"/>
      <c r="D51" s="2" t="s">
        <v>332</v>
      </c>
      <c r="E51" s="4">
        <v>3</v>
      </c>
      <c r="F51" s="30" t="s">
        <v>13</v>
      </c>
    </row>
    <row r="52" spans="1:6">
      <c r="A52" s="36"/>
      <c r="B52" s="36"/>
      <c r="C52" s="33"/>
      <c r="D52" s="2" t="s">
        <v>115</v>
      </c>
      <c r="E52" s="4">
        <v>0.5</v>
      </c>
      <c r="F52" s="30" t="s">
        <v>13</v>
      </c>
    </row>
    <row r="53" spans="1:6">
      <c r="A53" s="36"/>
      <c r="B53" s="36"/>
      <c r="C53" s="33"/>
      <c r="D53" s="2" t="s">
        <v>322</v>
      </c>
      <c r="E53" s="4">
        <v>125</v>
      </c>
      <c r="F53" s="30" t="s">
        <v>9</v>
      </c>
    </row>
    <row r="54" spans="1:6">
      <c r="A54" s="36"/>
      <c r="B54" s="36"/>
      <c r="C54" s="33"/>
      <c r="D54" s="2" t="s">
        <v>333</v>
      </c>
      <c r="E54" s="4">
        <v>4</v>
      </c>
      <c r="F54" s="30" t="s">
        <v>13</v>
      </c>
    </row>
    <row r="55" spans="1:6">
      <c r="A55" s="36"/>
      <c r="B55" s="36"/>
      <c r="C55" s="33"/>
      <c r="D55" s="2" t="s">
        <v>334</v>
      </c>
      <c r="E55" s="4">
        <v>4</v>
      </c>
      <c r="F55" s="30" t="s">
        <v>13</v>
      </c>
    </row>
    <row r="56" spans="1:6">
      <c r="A56" s="36"/>
      <c r="B56" s="36"/>
      <c r="C56" s="33"/>
      <c r="D56" s="2" t="s">
        <v>14</v>
      </c>
      <c r="E56" s="4">
        <v>1</v>
      </c>
      <c r="F56" s="30" t="s">
        <v>13</v>
      </c>
    </row>
    <row r="57" spans="1:6">
      <c r="A57" s="36"/>
      <c r="B57" s="36"/>
      <c r="C57" s="33"/>
      <c r="D57" s="2" t="s">
        <v>15</v>
      </c>
      <c r="E57" s="4">
        <v>1</v>
      </c>
      <c r="F57" s="30" t="s">
        <v>13</v>
      </c>
    </row>
    <row r="58" spans="1:6">
      <c r="A58" s="36"/>
      <c r="B58" s="36"/>
      <c r="C58" s="34"/>
      <c r="D58" s="2" t="s">
        <v>16</v>
      </c>
      <c r="E58" s="4">
        <v>1</v>
      </c>
      <c r="F58" s="30" t="s">
        <v>13</v>
      </c>
    </row>
    <row r="59" spans="1:6">
      <c r="A59" s="36" t="s">
        <v>335</v>
      </c>
      <c r="B59" s="36">
        <v>556</v>
      </c>
      <c r="C59" s="31" t="s">
        <v>336</v>
      </c>
      <c r="D59" s="2" t="s">
        <v>337</v>
      </c>
      <c r="E59" s="4">
        <v>400</v>
      </c>
      <c r="F59" s="30" t="s">
        <v>9</v>
      </c>
    </row>
    <row r="60" spans="1:6">
      <c r="A60" s="36"/>
      <c r="B60" s="36"/>
      <c r="C60" s="33"/>
      <c r="D60" s="2" t="s">
        <v>74</v>
      </c>
      <c r="E60" s="4">
        <v>4</v>
      </c>
      <c r="F60" s="30" t="s">
        <v>13</v>
      </c>
    </row>
    <row r="61" spans="1:6">
      <c r="A61" s="36"/>
      <c r="B61" s="36"/>
      <c r="C61" s="33"/>
      <c r="D61" s="2" t="s">
        <v>12</v>
      </c>
      <c r="E61" s="4">
        <v>4</v>
      </c>
      <c r="F61" s="30" t="s">
        <v>13</v>
      </c>
    </row>
    <row r="62" spans="1:6">
      <c r="A62" s="36"/>
      <c r="B62" s="36"/>
      <c r="C62" s="33"/>
      <c r="D62" s="2" t="s">
        <v>14</v>
      </c>
      <c r="E62" s="4">
        <v>1</v>
      </c>
      <c r="F62" s="30" t="s">
        <v>13</v>
      </c>
    </row>
    <row r="63" spans="1:6">
      <c r="A63" s="36"/>
      <c r="B63" s="36"/>
      <c r="C63" s="33"/>
      <c r="D63" s="2" t="s">
        <v>15</v>
      </c>
      <c r="E63" s="4">
        <v>1</v>
      </c>
      <c r="F63" s="30" t="s">
        <v>13</v>
      </c>
    </row>
    <row r="64" spans="1:6">
      <c r="A64" s="36"/>
      <c r="B64" s="36"/>
      <c r="C64" s="33"/>
      <c r="D64" s="2" t="s">
        <v>248</v>
      </c>
      <c r="E64" s="4">
        <v>1</v>
      </c>
      <c r="F64" s="30" t="s">
        <v>13</v>
      </c>
    </row>
    <row r="65" spans="1:6">
      <c r="A65" s="36"/>
      <c r="B65" s="36"/>
      <c r="C65" s="34"/>
      <c r="D65" s="2" t="s">
        <v>16</v>
      </c>
      <c r="E65" s="4">
        <v>1</v>
      </c>
      <c r="F65" s="30" t="s">
        <v>13</v>
      </c>
    </row>
    <row r="66" spans="1:6">
      <c r="A66" s="36" t="s">
        <v>338</v>
      </c>
      <c r="B66" s="36">
        <v>558</v>
      </c>
      <c r="C66" s="31" t="s">
        <v>339</v>
      </c>
      <c r="D66" s="2" t="s">
        <v>340</v>
      </c>
      <c r="E66" s="4">
        <v>8</v>
      </c>
      <c r="F66" s="30" t="s">
        <v>13</v>
      </c>
    </row>
    <row r="67" spans="1:6">
      <c r="A67" s="36"/>
      <c r="B67" s="36"/>
      <c r="C67" s="33"/>
      <c r="D67" s="2" t="s">
        <v>341</v>
      </c>
      <c r="E67" s="4">
        <v>2</v>
      </c>
      <c r="F67" s="30" t="s">
        <v>13</v>
      </c>
    </row>
    <row r="68" spans="1:6">
      <c r="A68" s="36"/>
      <c r="B68" s="36"/>
      <c r="C68" s="33"/>
      <c r="D68" s="2" t="s">
        <v>197</v>
      </c>
      <c r="E68" s="4">
        <v>12</v>
      </c>
      <c r="F68" s="30" t="s">
        <v>13</v>
      </c>
    </row>
    <row r="69" spans="1:6">
      <c r="A69" s="36"/>
      <c r="B69" s="36"/>
      <c r="C69" s="33"/>
      <c r="D69" s="2" t="s">
        <v>74</v>
      </c>
      <c r="E69" s="4">
        <v>1</v>
      </c>
      <c r="F69" s="30" t="s">
        <v>13</v>
      </c>
    </row>
    <row r="70" spans="1:6">
      <c r="A70" s="36"/>
      <c r="B70" s="36"/>
      <c r="C70" s="33"/>
      <c r="D70" s="2" t="s">
        <v>14</v>
      </c>
      <c r="E70" s="4">
        <v>1</v>
      </c>
      <c r="F70" s="30" t="s">
        <v>13</v>
      </c>
    </row>
    <row r="71" spans="1:6">
      <c r="A71" s="36"/>
      <c r="B71" s="36"/>
      <c r="C71" s="33"/>
      <c r="D71" s="2" t="s">
        <v>15</v>
      </c>
      <c r="E71" s="4">
        <v>1</v>
      </c>
      <c r="F71" s="30" t="s">
        <v>13</v>
      </c>
    </row>
    <row r="72" spans="1:6">
      <c r="A72" s="36"/>
      <c r="B72" s="36"/>
      <c r="C72" s="33"/>
      <c r="D72" s="2" t="s">
        <v>51</v>
      </c>
      <c r="E72" s="4">
        <v>1</v>
      </c>
      <c r="F72" s="30" t="s">
        <v>13</v>
      </c>
    </row>
    <row r="73" spans="1:6">
      <c r="A73" s="36"/>
      <c r="B73" s="36"/>
      <c r="C73" s="33"/>
      <c r="D73" s="2" t="s">
        <v>16</v>
      </c>
      <c r="E73" s="4">
        <v>1</v>
      </c>
      <c r="F73" s="30" t="s">
        <v>13</v>
      </c>
    </row>
    <row r="74" spans="1:6">
      <c r="A74" s="36"/>
      <c r="B74" s="36"/>
      <c r="C74" s="33"/>
      <c r="D74" s="2" t="s">
        <v>321</v>
      </c>
      <c r="E74" s="4">
        <v>3</v>
      </c>
      <c r="F74" s="30" t="s">
        <v>13</v>
      </c>
    </row>
    <row r="75" spans="1:6">
      <c r="A75" s="36"/>
      <c r="B75" s="36"/>
      <c r="C75" s="33"/>
      <c r="D75" s="2" t="s">
        <v>342</v>
      </c>
      <c r="E75" s="4">
        <v>120</v>
      </c>
      <c r="F75" s="30" t="s">
        <v>32</v>
      </c>
    </row>
    <row r="76" spans="1:6">
      <c r="A76" s="36"/>
      <c r="B76" s="36"/>
      <c r="C76" s="33"/>
      <c r="D76" s="2" t="s">
        <v>217</v>
      </c>
      <c r="E76" s="4">
        <v>100</v>
      </c>
      <c r="F76" s="30" t="s">
        <v>32</v>
      </c>
    </row>
    <row r="77" spans="1:6">
      <c r="A77" s="36"/>
      <c r="B77" s="36"/>
      <c r="C77" s="33"/>
      <c r="D77" s="2" t="s">
        <v>14</v>
      </c>
      <c r="E77" s="4">
        <v>2</v>
      </c>
      <c r="F77" s="30" t="s">
        <v>47</v>
      </c>
    </row>
    <row r="78" spans="1:6">
      <c r="A78" s="36"/>
      <c r="B78" s="36"/>
      <c r="C78" s="33"/>
      <c r="D78" s="2" t="s">
        <v>320</v>
      </c>
      <c r="E78" s="4">
        <v>1</v>
      </c>
      <c r="F78" s="30" t="s">
        <v>13</v>
      </c>
    </row>
    <row r="79" spans="1:6">
      <c r="A79" s="36"/>
      <c r="B79" s="36"/>
      <c r="C79" s="33"/>
      <c r="D79" s="2" t="s">
        <v>343</v>
      </c>
      <c r="E79" s="4">
        <v>1</v>
      </c>
      <c r="F79" s="30" t="s">
        <v>47</v>
      </c>
    </row>
    <row r="80" spans="1:6">
      <c r="A80" s="36"/>
      <c r="B80" s="36"/>
      <c r="C80" s="34"/>
      <c r="D80" s="2" t="s">
        <v>16</v>
      </c>
      <c r="E80" s="4">
        <v>1</v>
      </c>
      <c r="F80" s="30" t="s">
        <v>13</v>
      </c>
    </row>
    <row r="81" spans="1:6">
      <c r="A81" s="36" t="s">
        <v>344</v>
      </c>
      <c r="B81" s="36">
        <v>562</v>
      </c>
      <c r="C81" s="31" t="s">
        <v>345</v>
      </c>
      <c r="D81" s="2" t="s">
        <v>243</v>
      </c>
      <c r="E81" s="4">
        <f>8*75</f>
        <v>600</v>
      </c>
      <c r="F81" s="30" t="s">
        <v>9</v>
      </c>
    </row>
    <row r="82" spans="1:6">
      <c r="A82" s="36"/>
      <c r="B82" s="36"/>
      <c r="C82" s="33"/>
      <c r="D82" s="2" t="s">
        <v>300</v>
      </c>
      <c r="E82" s="4">
        <v>250</v>
      </c>
      <c r="F82" s="30" t="s">
        <v>32</v>
      </c>
    </row>
    <row r="83" spans="1:6">
      <c r="A83" s="36"/>
      <c r="B83" s="36"/>
      <c r="C83" s="33"/>
      <c r="D83" s="2" t="s">
        <v>60</v>
      </c>
      <c r="E83" s="4">
        <v>2</v>
      </c>
      <c r="F83" s="30" t="s">
        <v>13</v>
      </c>
    </row>
    <row r="84" spans="1:6">
      <c r="A84" s="36"/>
      <c r="B84" s="36"/>
      <c r="C84" s="33"/>
      <c r="D84" s="2" t="s">
        <v>12</v>
      </c>
      <c r="E84" s="4">
        <v>2</v>
      </c>
      <c r="F84" s="30" t="s">
        <v>13</v>
      </c>
    </row>
    <row r="85" spans="1:6">
      <c r="A85" s="36"/>
      <c r="B85" s="36"/>
      <c r="C85" s="33"/>
      <c r="D85" s="2" t="s">
        <v>346</v>
      </c>
      <c r="E85" s="4">
        <v>2</v>
      </c>
      <c r="F85" s="30" t="s">
        <v>13</v>
      </c>
    </row>
    <row r="86" spans="1:6">
      <c r="A86" s="36"/>
      <c r="B86" s="36"/>
      <c r="C86" s="33"/>
      <c r="D86" s="2" t="s">
        <v>54</v>
      </c>
      <c r="E86" s="4">
        <v>1</v>
      </c>
      <c r="F86" s="30" t="s">
        <v>13</v>
      </c>
    </row>
    <row r="87" spans="1:6">
      <c r="A87" s="36"/>
      <c r="B87" s="36"/>
      <c r="C87" s="33"/>
      <c r="D87" s="2" t="s">
        <v>211</v>
      </c>
      <c r="E87" s="4">
        <v>250</v>
      </c>
      <c r="F87" s="30" t="s">
        <v>32</v>
      </c>
    </row>
    <row r="88" spans="1:6">
      <c r="A88" s="36"/>
      <c r="B88" s="36"/>
      <c r="C88" s="33"/>
      <c r="D88" s="2" t="s">
        <v>61</v>
      </c>
      <c r="E88" s="4">
        <v>1</v>
      </c>
      <c r="F88" s="30" t="s">
        <v>13</v>
      </c>
    </row>
    <row r="89" spans="1:6">
      <c r="A89" s="36"/>
      <c r="B89" s="36"/>
      <c r="C89" s="33"/>
      <c r="D89" s="2" t="s">
        <v>244</v>
      </c>
      <c r="E89" s="4">
        <v>150</v>
      </c>
      <c r="F89" s="30" t="s">
        <v>32</v>
      </c>
    </row>
    <row r="90" spans="1:6">
      <c r="A90" s="36"/>
      <c r="B90" s="36"/>
      <c r="C90" s="33"/>
      <c r="D90" s="2" t="s">
        <v>14</v>
      </c>
      <c r="E90" s="4">
        <v>1</v>
      </c>
      <c r="F90" s="30" t="s">
        <v>13</v>
      </c>
    </row>
    <row r="91" spans="1:6">
      <c r="A91" s="36"/>
      <c r="B91" s="36"/>
      <c r="C91" s="33"/>
      <c r="D91" s="2" t="s">
        <v>15</v>
      </c>
      <c r="E91" s="4">
        <v>1</v>
      </c>
      <c r="F91" s="30" t="s">
        <v>13</v>
      </c>
    </row>
    <row r="92" spans="1:6">
      <c r="A92" s="36"/>
      <c r="B92" s="36"/>
      <c r="C92" s="33"/>
      <c r="D92" s="2" t="s">
        <v>279</v>
      </c>
      <c r="E92" s="4">
        <v>1</v>
      </c>
      <c r="F92" s="30" t="s">
        <v>47</v>
      </c>
    </row>
    <row r="93" spans="1:6">
      <c r="A93" s="36"/>
      <c r="B93" s="36"/>
      <c r="C93" s="33"/>
      <c r="D93" s="2" t="s">
        <v>51</v>
      </c>
      <c r="E93" s="4">
        <v>1</v>
      </c>
      <c r="F93" s="30" t="s">
        <v>13</v>
      </c>
    </row>
    <row r="94" spans="1:6">
      <c r="A94" s="36"/>
      <c r="B94" s="36"/>
      <c r="C94" s="34"/>
      <c r="D94" s="2" t="s">
        <v>16</v>
      </c>
      <c r="E94" s="4">
        <v>1</v>
      </c>
      <c r="F94" s="30" t="s">
        <v>13</v>
      </c>
    </row>
    <row r="95" spans="1:6">
      <c r="A95" s="36" t="s">
        <v>347</v>
      </c>
      <c r="B95" s="36">
        <v>574</v>
      </c>
      <c r="C95" s="31" t="s">
        <v>348</v>
      </c>
      <c r="D95" s="2" t="s">
        <v>349</v>
      </c>
      <c r="E95" s="4">
        <v>800</v>
      </c>
      <c r="F95" s="30" t="s">
        <v>9</v>
      </c>
    </row>
    <row r="96" spans="1:6">
      <c r="A96" s="36"/>
      <c r="B96" s="36"/>
      <c r="C96" s="33"/>
      <c r="D96" s="2" t="s">
        <v>92</v>
      </c>
      <c r="E96" s="4">
        <v>200</v>
      </c>
      <c r="F96" s="30" t="s">
        <v>9</v>
      </c>
    </row>
    <row r="97" spans="1:6">
      <c r="A97" s="36"/>
      <c r="B97" s="36"/>
      <c r="C97" s="33"/>
      <c r="D97" s="2" t="s">
        <v>69</v>
      </c>
      <c r="E97" s="4">
        <v>250</v>
      </c>
      <c r="F97" s="30" t="s">
        <v>32</v>
      </c>
    </row>
    <row r="98" spans="1:6">
      <c r="A98" s="36"/>
      <c r="B98" s="36"/>
      <c r="C98" s="33"/>
      <c r="D98" s="2" t="s">
        <v>60</v>
      </c>
      <c r="E98" s="4">
        <v>1</v>
      </c>
      <c r="F98" s="30" t="s">
        <v>13</v>
      </c>
    </row>
    <row r="99" spans="1:6">
      <c r="A99" s="36"/>
      <c r="B99" s="36"/>
      <c r="C99" s="33"/>
      <c r="D99" s="2" t="s">
        <v>350</v>
      </c>
      <c r="E99" s="4">
        <v>2</v>
      </c>
      <c r="F99" s="30" t="s">
        <v>13</v>
      </c>
    </row>
    <row r="100" spans="1:6">
      <c r="A100" s="36"/>
      <c r="B100" s="36"/>
      <c r="C100" s="33"/>
      <c r="D100" s="2" t="s">
        <v>14</v>
      </c>
      <c r="E100" s="4">
        <v>1</v>
      </c>
      <c r="F100" s="30" t="s">
        <v>13</v>
      </c>
    </row>
    <row r="101" spans="1:6">
      <c r="A101" s="36"/>
      <c r="B101" s="36"/>
      <c r="C101" s="33"/>
      <c r="D101" s="2" t="s">
        <v>15</v>
      </c>
      <c r="E101" s="4">
        <v>1</v>
      </c>
      <c r="F101" s="30" t="s">
        <v>13</v>
      </c>
    </row>
    <row r="102" spans="1:6">
      <c r="A102" s="36"/>
      <c r="B102" s="36"/>
      <c r="C102" s="33"/>
      <c r="D102" s="2" t="s">
        <v>51</v>
      </c>
      <c r="E102" s="4">
        <v>1</v>
      </c>
      <c r="F102" s="30" t="s">
        <v>13</v>
      </c>
    </row>
    <row r="103" spans="1:6">
      <c r="A103" s="36"/>
      <c r="B103" s="36"/>
      <c r="C103" s="33"/>
      <c r="D103" s="2" t="s">
        <v>93</v>
      </c>
      <c r="E103" s="4">
        <v>1</v>
      </c>
      <c r="F103" s="30" t="s">
        <v>47</v>
      </c>
    </row>
    <row r="104" spans="1:6">
      <c r="A104" s="36"/>
      <c r="B104" s="36"/>
      <c r="C104" s="33"/>
      <c r="D104" s="2" t="s">
        <v>16</v>
      </c>
      <c r="E104" s="4">
        <v>1</v>
      </c>
      <c r="F104" s="30" t="s">
        <v>13</v>
      </c>
    </row>
    <row r="105" spans="1:6">
      <c r="A105" s="36"/>
      <c r="B105" s="36"/>
      <c r="C105" s="33"/>
      <c r="D105" s="2" t="s">
        <v>351</v>
      </c>
      <c r="E105" s="4">
        <v>16</v>
      </c>
      <c r="F105" s="30" t="s">
        <v>13</v>
      </c>
    </row>
    <row r="106" spans="1:6">
      <c r="A106" s="36"/>
      <c r="B106" s="36"/>
      <c r="C106" s="33"/>
      <c r="D106" s="2" t="s">
        <v>14</v>
      </c>
      <c r="E106" s="4">
        <v>4</v>
      </c>
      <c r="F106" s="30" t="s">
        <v>47</v>
      </c>
    </row>
    <row r="107" spans="1:6">
      <c r="A107" s="36"/>
      <c r="B107" s="36"/>
      <c r="C107" s="33"/>
      <c r="D107" s="2" t="s">
        <v>56</v>
      </c>
      <c r="E107" s="4">
        <v>1</v>
      </c>
      <c r="F107" s="30" t="s">
        <v>47</v>
      </c>
    </row>
    <row r="108" spans="1:6">
      <c r="A108" s="36"/>
      <c r="B108" s="36"/>
      <c r="C108" s="34"/>
      <c r="D108" s="2" t="s">
        <v>15</v>
      </c>
      <c r="E108" s="4">
        <v>1</v>
      </c>
      <c r="F108" s="30" t="s">
        <v>47</v>
      </c>
    </row>
    <row r="109" spans="1:6">
      <c r="A109" s="36" t="s">
        <v>352</v>
      </c>
      <c r="B109" s="36">
        <v>576</v>
      </c>
      <c r="C109" s="31" t="s">
        <v>353</v>
      </c>
      <c r="D109" s="2" t="s">
        <v>216</v>
      </c>
      <c r="E109" s="4">
        <v>700</v>
      </c>
      <c r="F109" s="30" t="s">
        <v>9</v>
      </c>
    </row>
    <row r="110" spans="1:6">
      <c r="A110" s="36"/>
      <c r="B110" s="36"/>
      <c r="C110" s="33"/>
      <c r="D110" s="2" t="s">
        <v>354</v>
      </c>
      <c r="E110" s="4">
        <v>400</v>
      </c>
      <c r="F110" s="30" t="s">
        <v>9</v>
      </c>
    </row>
    <row r="111" spans="1:6">
      <c r="A111" s="36"/>
      <c r="B111" s="36"/>
      <c r="C111" s="33"/>
      <c r="D111" s="2" t="s">
        <v>14</v>
      </c>
      <c r="E111" s="4">
        <v>1</v>
      </c>
      <c r="F111" s="30" t="s">
        <v>13</v>
      </c>
    </row>
    <row r="112" spans="1:6">
      <c r="A112" s="36"/>
      <c r="B112" s="36"/>
      <c r="C112" s="33"/>
      <c r="D112" s="2" t="s">
        <v>15</v>
      </c>
      <c r="E112" s="4">
        <v>1</v>
      </c>
      <c r="F112" s="30" t="s">
        <v>13</v>
      </c>
    </row>
    <row r="113" spans="1:6">
      <c r="A113" s="36"/>
      <c r="B113" s="36"/>
      <c r="C113" s="33"/>
      <c r="D113" s="2" t="s">
        <v>51</v>
      </c>
      <c r="E113" s="4">
        <v>1</v>
      </c>
      <c r="F113" s="30" t="s">
        <v>13</v>
      </c>
    </row>
    <row r="114" spans="1:6">
      <c r="A114" s="36"/>
      <c r="B114" s="36"/>
      <c r="C114" s="33"/>
      <c r="D114" s="2" t="s">
        <v>16</v>
      </c>
      <c r="E114" s="4">
        <v>1</v>
      </c>
      <c r="F114" s="30" t="s">
        <v>13</v>
      </c>
    </row>
    <row r="115" spans="1:6">
      <c r="A115" s="36"/>
      <c r="B115" s="36"/>
      <c r="C115" s="33"/>
      <c r="D115" s="2" t="s">
        <v>115</v>
      </c>
      <c r="E115" s="4">
        <v>2</v>
      </c>
      <c r="F115" s="30" t="s">
        <v>13</v>
      </c>
    </row>
    <row r="116" spans="1:6">
      <c r="A116" s="36"/>
      <c r="B116" s="36"/>
      <c r="C116" s="33"/>
      <c r="D116" s="2" t="s">
        <v>12</v>
      </c>
      <c r="E116" s="4">
        <v>2</v>
      </c>
      <c r="F116" s="30" t="s">
        <v>13</v>
      </c>
    </row>
    <row r="117" spans="1:6">
      <c r="A117" s="36"/>
      <c r="B117" s="36"/>
      <c r="C117" s="33"/>
      <c r="D117" s="2" t="s">
        <v>207</v>
      </c>
      <c r="E117" s="4">
        <v>0.5</v>
      </c>
      <c r="F117" s="30" t="s">
        <v>13</v>
      </c>
    </row>
    <row r="118" spans="1:6">
      <c r="A118" s="36"/>
      <c r="B118" s="36"/>
      <c r="C118" s="33"/>
      <c r="D118" s="2" t="s">
        <v>62</v>
      </c>
      <c r="E118" s="4">
        <v>150</v>
      </c>
      <c r="F118" s="30" t="s">
        <v>32</v>
      </c>
    </row>
    <row r="119" spans="1:6">
      <c r="A119" s="36"/>
      <c r="B119" s="36"/>
      <c r="C119" s="33"/>
      <c r="D119" s="2" t="s">
        <v>128</v>
      </c>
      <c r="E119" s="4">
        <v>1</v>
      </c>
      <c r="F119" s="30" t="s">
        <v>47</v>
      </c>
    </row>
    <row r="120" spans="1:6">
      <c r="A120" s="36"/>
      <c r="B120" s="36"/>
      <c r="C120" s="33"/>
      <c r="D120" s="2" t="s">
        <v>217</v>
      </c>
      <c r="E120" s="4">
        <v>100</v>
      </c>
      <c r="F120" s="30" t="s">
        <v>32</v>
      </c>
    </row>
    <row r="121" spans="1:6">
      <c r="A121" s="36"/>
      <c r="B121" s="36"/>
      <c r="C121" s="33"/>
      <c r="D121" s="2" t="s">
        <v>267</v>
      </c>
      <c r="E121" s="4">
        <v>1</v>
      </c>
      <c r="F121" s="30" t="s">
        <v>47</v>
      </c>
    </row>
    <row r="122" spans="1:6">
      <c r="A122" s="36"/>
      <c r="B122" s="36"/>
      <c r="C122" s="33"/>
      <c r="D122" s="2" t="s">
        <v>355</v>
      </c>
      <c r="E122" s="4">
        <v>20</v>
      </c>
      <c r="F122" s="30" t="s">
        <v>9</v>
      </c>
    </row>
    <row r="123" spans="1:6">
      <c r="A123" s="36"/>
      <c r="B123" s="36"/>
      <c r="C123" s="33"/>
      <c r="D123" s="2" t="s">
        <v>14</v>
      </c>
      <c r="E123" s="4">
        <v>2</v>
      </c>
      <c r="F123" s="30" t="s">
        <v>47</v>
      </c>
    </row>
    <row r="124" spans="1:6">
      <c r="A124" s="36"/>
      <c r="B124" s="36"/>
      <c r="C124" s="34"/>
      <c r="D124" s="2" t="s">
        <v>86</v>
      </c>
      <c r="E124" s="4">
        <v>1</v>
      </c>
      <c r="F124" s="30" t="s">
        <v>13</v>
      </c>
    </row>
    <row r="125" spans="1:6">
      <c r="A125" s="36" t="s">
        <v>356</v>
      </c>
      <c r="B125" s="36">
        <v>577</v>
      </c>
      <c r="C125" s="31" t="s">
        <v>357</v>
      </c>
      <c r="D125" s="2" t="s">
        <v>216</v>
      </c>
      <c r="E125" s="4">
        <v>800</v>
      </c>
      <c r="F125" s="30" t="s">
        <v>9</v>
      </c>
    </row>
    <row r="126" spans="1:6">
      <c r="A126" s="36"/>
      <c r="B126" s="36"/>
      <c r="C126" s="33"/>
      <c r="D126" s="2" t="s">
        <v>358</v>
      </c>
      <c r="E126" s="4">
        <v>100</v>
      </c>
      <c r="F126" s="30" t="s">
        <v>9</v>
      </c>
    </row>
    <row r="127" spans="1:6">
      <c r="A127" s="36"/>
      <c r="B127" s="36"/>
      <c r="C127" s="33"/>
      <c r="D127" s="2" t="s">
        <v>14</v>
      </c>
      <c r="E127" s="4">
        <v>1</v>
      </c>
      <c r="F127" s="30" t="s">
        <v>13</v>
      </c>
    </row>
    <row r="128" spans="1:6">
      <c r="A128" s="36"/>
      <c r="B128" s="36"/>
      <c r="C128" s="33"/>
      <c r="D128" s="2" t="s">
        <v>15</v>
      </c>
      <c r="E128" s="4">
        <v>1</v>
      </c>
      <c r="F128" s="30" t="s">
        <v>13</v>
      </c>
    </row>
    <row r="129" spans="1:6">
      <c r="A129" s="36"/>
      <c r="B129" s="36"/>
      <c r="C129" s="33"/>
      <c r="D129" s="2" t="s">
        <v>16</v>
      </c>
      <c r="E129" s="4">
        <v>1</v>
      </c>
      <c r="F129" s="30" t="s">
        <v>13</v>
      </c>
    </row>
    <row r="130" spans="1:6">
      <c r="A130" s="36"/>
      <c r="B130" s="36"/>
      <c r="C130" s="33"/>
      <c r="D130" s="2" t="s">
        <v>308</v>
      </c>
      <c r="E130" s="4">
        <v>2</v>
      </c>
      <c r="F130" s="30" t="s">
        <v>47</v>
      </c>
    </row>
    <row r="131" spans="1:6">
      <c r="A131" s="36"/>
      <c r="B131" s="36"/>
      <c r="C131" s="33"/>
      <c r="D131" s="2" t="s">
        <v>359</v>
      </c>
      <c r="E131" s="4">
        <v>1</v>
      </c>
      <c r="F131" s="30" t="s">
        <v>47</v>
      </c>
    </row>
    <row r="132" spans="1:6">
      <c r="A132" s="36"/>
      <c r="B132" s="36"/>
      <c r="C132" s="33"/>
      <c r="D132" s="2" t="s">
        <v>279</v>
      </c>
      <c r="E132" s="4">
        <v>1</v>
      </c>
      <c r="F132" s="30" t="s">
        <v>47</v>
      </c>
    </row>
    <row r="133" spans="1:6">
      <c r="A133" s="36"/>
      <c r="B133" s="36"/>
      <c r="C133" s="33"/>
      <c r="D133" s="2" t="s">
        <v>16</v>
      </c>
      <c r="E133" s="4">
        <v>2</v>
      </c>
      <c r="F133" s="30" t="s">
        <v>47</v>
      </c>
    </row>
    <row r="134" spans="1:6">
      <c r="A134" s="36"/>
      <c r="B134" s="36"/>
      <c r="C134" s="33"/>
      <c r="D134" s="2" t="s">
        <v>264</v>
      </c>
      <c r="E134" s="4">
        <v>1</v>
      </c>
      <c r="F134" s="30" t="s">
        <v>47</v>
      </c>
    </row>
    <row r="135" spans="1:6">
      <c r="A135" s="36"/>
      <c r="B135" s="36"/>
      <c r="C135" s="33"/>
      <c r="D135" s="2" t="s">
        <v>273</v>
      </c>
      <c r="E135" s="4">
        <v>2</v>
      </c>
      <c r="F135" s="30" t="s">
        <v>47</v>
      </c>
    </row>
    <row r="136" spans="1:6">
      <c r="A136" s="36"/>
      <c r="B136" s="36"/>
      <c r="C136" s="33"/>
      <c r="D136" s="2" t="s">
        <v>81</v>
      </c>
      <c r="E136" s="4">
        <v>2</v>
      </c>
      <c r="F136" s="30" t="s">
        <v>47</v>
      </c>
    </row>
    <row r="137" spans="1:6">
      <c r="A137" s="36"/>
      <c r="B137" s="36"/>
      <c r="C137" s="33"/>
      <c r="D137" s="2" t="s">
        <v>116</v>
      </c>
      <c r="E137" s="4">
        <v>1</v>
      </c>
      <c r="F137" s="30" t="s">
        <v>47</v>
      </c>
    </row>
    <row r="138" spans="1:6">
      <c r="A138" s="36"/>
      <c r="B138" s="36"/>
      <c r="C138" s="33"/>
      <c r="D138" s="2" t="s">
        <v>12</v>
      </c>
      <c r="E138" s="4">
        <v>3</v>
      </c>
      <c r="F138" s="30" t="s">
        <v>13</v>
      </c>
    </row>
    <row r="139" spans="1:6">
      <c r="A139" s="36"/>
      <c r="B139" s="36"/>
      <c r="C139" s="33"/>
      <c r="D139" s="2" t="s">
        <v>14</v>
      </c>
      <c r="E139" s="4">
        <v>60</v>
      </c>
      <c r="F139" s="30" t="s">
        <v>32</v>
      </c>
    </row>
    <row r="140" spans="1:6">
      <c r="A140" s="36"/>
      <c r="B140" s="36"/>
      <c r="C140" s="33"/>
      <c r="D140" s="2" t="s">
        <v>38</v>
      </c>
      <c r="E140" s="4">
        <v>1</v>
      </c>
      <c r="F140" s="30" t="s">
        <v>47</v>
      </c>
    </row>
    <row r="141" spans="1:6">
      <c r="A141" s="36"/>
      <c r="B141" s="36"/>
      <c r="C141" s="34"/>
      <c r="D141" s="2" t="s">
        <v>128</v>
      </c>
      <c r="E141" s="4">
        <v>1</v>
      </c>
      <c r="F141" s="30" t="s">
        <v>47</v>
      </c>
    </row>
    <row r="142" spans="1:6">
      <c r="A142" s="36" t="s">
        <v>360</v>
      </c>
      <c r="B142" s="36">
        <v>588</v>
      </c>
      <c r="C142" s="31" t="s">
        <v>361</v>
      </c>
      <c r="D142" s="2" t="s">
        <v>312</v>
      </c>
      <c r="E142" s="4">
        <v>800</v>
      </c>
      <c r="F142" s="30" t="s">
        <v>9</v>
      </c>
    </row>
    <row r="143" spans="1:6">
      <c r="A143" s="36"/>
      <c r="B143" s="36"/>
      <c r="C143" s="33"/>
      <c r="D143" s="2" t="s">
        <v>362</v>
      </c>
      <c r="E143" s="4">
        <v>1</v>
      </c>
      <c r="F143" s="30" t="s">
        <v>13</v>
      </c>
    </row>
    <row r="144" spans="1:6">
      <c r="A144" s="36"/>
      <c r="B144" s="36"/>
      <c r="C144" s="33"/>
      <c r="D144" s="2" t="s">
        <v>60</v>
      </c>
      <c r="E144" s="4">
        <v>1</v>
      </c>
      <c r="F144" s="30" t="s">
        <v>13</v>
      </c>
    </row>
    <row r="145" spans="1:6">
      <c r="A145" s="36"/>
      <c r="B145" s="36"/>
      <c r="C145" s="33"/>
      <c r="D145" s="2" t="s">
        <v>74</v>
      </c>
      <c r="E145" s="4">
        <v>1</v>
      </c>
      <c r="F145" s="30" t="s">
        <v>13</v>
      </c>
    </row>
    <row r="146" spans="1:6">
      <c r="A146" s="36"/>
      <c r="B146" s="36"/>
      <c r="C146" s="33"/>
      <c r="D146" s="2" t="s">
        <v>12</v>
      </c>
      <c r="E146" s="4">
        <v>3</v>
      </c>
      <c r="F146" s="30" t="s">
        <v>13</v>
      </c>
    </row>
    <row r="147" spans="1:6">
      <c r="A147" s="36"/>
      <c r="B147" s="36"/>
      <c r="C147" s="33"/>
      <c r="D147" s="2" t="s">
        <v>61</v>
      </c>
      <c r="E147" s="4">
        <v>1</v>
      </c>
      <c r="F147" s="30" t="s">
        <v>13</v>
      </c>
    </row>
    <row r="148" spans="1:6">
      <c r="A148" s="36"/>
      <c r="B148" s="36"/>
      <c r="C148" s="33"/>
      <c r="D148" s="2" t="s">
        <v>244</v>
      </c>
      <c r="E148" s="4">
        <v>300</v>
      </c>
      <c r="F148" s="30" t="s">
        <v>32</v>
      </c>
    </row>
    <row r="149" spans="1:6">
      <c r="A149" s="36"/>
      <c r="B149" s="36"/>
      <c r="C149" s="33"/>
      <c r="D149" s="2" t="s">
        <v>14</v>
      </c>
      <c r="E149" s="4">
        <v>1</v>
      </c>
      <c r="F149" s="30" t="s">
        <v>13</v>
      </c>
    </row>
    <row r="150" spans="1:6">
      <c r="A150" s="36"/>
      <c r="B150" s="36"/>
      <c r="C150" s="33"/>
      <c r="D150" s="2" t="s">
        <v>56</v>
      </c>
      <c r="E150" s="4">
        <v>1</v>
      </c>
      <c r="F150" s="30" t="s">
        <v>13</v>
      </c>
    </row>
    <row r="151" spans="1:6">
      <c r="A151" s="36"/>
      <c r="B151" s="36"/>
      <c r="C151" s="33"/>
      <c r="D151" s="2" t="s">
        <v>16</v>
      </c>
      <c r="E151" s="4">
        <v>1</v>
      </c>
      <c r="F151" s="30" t="s">
        <v>13</v>
      </c>
    </row>
    <row r="152" spans="1:6">
      <c r="A152" s="36"/>
      <c r="B152" s="36"/>
      <c r="C152" s="33"/>
      <c r="D152" s="2" t="s">
        <v>93</v>
      </c>
      <c r="E152" s="4">
        <v>1</v>
      </c>
      <c r="F152" s="30" t="s">
        <v>13</v>
      </c>
    </row>
    <row r="153" spans="1:6">
      <c r="A153" s="36"/>
      <c r="B153" s="36"/>
      <c r="C153" s="34"/>
      <c r="D153" s="2" t="s">
        <v>15</v>
      </c>
      <c r="E153" s="4">
        <v>1</v>
      </c>
      <c r="F153" s="30" t="s">
        <v>13</v>
      </c>
    </row>
    <row r="154" spans="1:6">
      <c r="A154" s="36" t="s">
        <v>363</v>
      </c>
      <c r="B154" s="36">
        <v>592</v>
      </c>
      <c r="C154" s="31" t="s">
        <v>364</v>
      </c>
      <c r="D154" s="2" t="s">
        <v>365</v>
      </c>
      <c r="E154" s="4">
        <v>600</v>
      </c>
      <c r="F154" s="30" t="s">
        <v>9</v>
      </c>
    </row>
    <row r="155" spans="1:6">
      <c r="A155" s="36"/>
      <c r="B155" s="36"/>
      <c r="C155" s="33"/>
      <c r="D155" s="2" t="s">
        <v>60</v>
      </c>
      <c r="E155" s="4">
        <v>3</v>
      </c>
      <c r="F155" s="30" t="s">
        <v>13</v>
      </c>
    </row>
    <row r="156" spans="1:6">
      <c r="A156" s="36"/>
      <c r="B156" s="36"/>
      <c r="C156" s="33"/>
      <c r="D156" s="2" t="s">
        <v>24</v>
      </c>
      <c r="E156" s="4">
        <v>2</v>
      </c>
      <c r="F156" s="30" t="s">
        <v>13</v>
      </c>
    </row>
    <row r="157" spans="1:6">
      <c r="A157" s="36"/>
      <c r="B157" s="36"/>
      <c r="C157" s="33"/>
      <c r="D157" s="2" t="s">
        <v>12</v>
      </c>
      <c r="E157" s="4">
        <v>2</v>
      </c>
      <c r="F157" s="30" t="s">
        <v>13</v>
      </c>
    </row>
    <row r="158" spans="1:6">
      <c r="A158" s="36"/>
      <c r="B158" s="36"/>
      <c r="C158" s="33"/>
      <c r="D158" s="2" t="s">
        <v>69</v>
      </c>
      <c r="E158" s="4">
        <v>100</v>
      </c>
      <c r="F158" s="30" t="s">
        <v>32</v>
      </c>
    </row>
    <row r="159" spans="1:6">
      <c r="A159" s="36"/>
      <c r="B159" s="36"/>
      <c r="C159" s="33"/>
      <c r="D159" s="2" t="s">
        <v>366</v>
      </c>
      <c r="E159" s="4">
        <v>12</v>
      </c>
      <c r="F159" s="30" t="s">
        <v>13</v>
      </c>
    </row>
    <row r="160" spans="1:6">
      <c r="A160" s="36"/>
      <c r="B160" s="36"/>
      <c r="C160" s="33"/>
      <c r="D160" s="2" t="s">
        <v>14</v>
      </c>
      <c r="E160" s="4">
        <v>1</v>
      </c>
      <c r="F160" s="30" t="s">
        <v>13</v>
      </c>
    </row>
    <row r="161" spans="1:6">
      <c r="A161" s="36"/>
      <c r="B161" s="36"/>
      <c r="C161" s="33"/>
      <c r="D161" s="2" t="s">
        <v>367</v>
      </c>
      <c r="E161" s="4">
        <v>2</v>
      </c>
      <c r="F161" s="30" t="s">
        <v>47</v>
      </c>
    </row>
    <row r="162" spans="1:6">
      <c r="A162" s="36"/>
      <c r="B162" s="36"/>
      <c r="C162" s="33"/>
      <c r="D162" s="2" t="s">
        <v>15</v>
      </c>
      <c r="E162" s="4">
        <v>1</v>
      </c>
      <c r="F162" s="30" t="s">
        <v>13</v>
      </c>
    </row>
    <row r="163" spans="1:6">
      <c r="A163" s="36"/>
      <c r="B163" s="36"/>
      <c r="C163" s="33"/>
      <c r="D163" s="2" t="s">
        <v>51</v>
      </c>
      <c r="E163" s="4">
        <v>1</v>
      </c>
      <c r="F163" s="30" t="s">
        <v>13</v>
      </c>
    </row>
    <row r="164" spans="1:6">
      <c r="A164" s="36"/>
      <c r="B164" s="36"/>
      <c r="C164" s="34"/>
      <c r="D164" s="2" t="s">
        <v>16</v>
      </c>
      <c r="E164" s="4">
        <v>1</v>
      </c>
      <c r="F164" s="30" t="s">
        <v>13</v>
      </c>
    </row>
    <row r="165" spans="1:6">
      <c r="A165" s="36" t="s">
        <v>368</v>
      </c>
      <c r="B165" s="36">
        <v>596</v>
      </c>
      <c r="C165" s="31" t="s">
        <v>369</v>
      </c>
      <c r="D165" s="2" t="s">
        <v>370</v>
      </c>
      <c r="E165" s="4">
        <v>600</v>
      </c>
      <c r="F165" s="30" t="s">
        <v>9</v>
      </c>
    </row>
    <row r="166" spans="1:6">
      <c r="A166" s="36"/>
      <c r="B166" s="36"/>
      <c r="C166" s="33"/>
      <c r="D166" s="2" t="s">
        <v>313</v>
      </c>
      <c r="E166" s="4">
        <v>200</v>
      </c>
      <c r="F166" s="30" t="s">
        <v>9</v>
      </c>
    </row>
    <row r="167" spans="1:6">
      <c r="A167" s="36"/>
      <c r="B167" s="36"/>
      <c r="C167" s="33"/>
      <c r="D167" s="2" t="s">
        <v>14</v>
      </c>
      <c r="E167" s="4">
        <v>1</v>
      </c>
      <c r="F167" s="30" t="s">
        <v>13</v>
      </c>
    </row>
    <row r="168" spans="1:6">
      <c r="A168" s="36"/>
      <c r="B168" s="36"/>
      <c r="C168" s="33"/>
      <c r="D168" s="2" t="s">
        <v>15</v>
      </c>
      <c r="E168" s="4">
        <v>1</v>
      </c>
      <c r="F168" s="30" t="s">
        <v>13</v>
      </c>
    </row>
    <row r="169" spans="1:6">
      <c r="A169" s="36"/>
      <c r="B169" s="36"/>
      <c r="C169" s="33"/>
      <c r="D169" s="2" t="s">
        <v>51</v>
      </c>
      <c r="E169" s="4">
        <v>1</v>
      </c>
      <c r="F169" s="30" t="s">
        <v>13</v>
      </c>
    </row>
    <row r="170" spans="1:6">
      <c r="A170" s="36"/>
      <c r="B170" s="36"/>
      <c r="C170" s="33"/>
      <c r="D170" s="2" t="s">
        <v>16</v>
      </c>
      <c r="E170" s="4">
        <v>1</v>
      </c>
      <c r="F170" s="30" t="s">
        <v>13</v>
      </c>
    </row>
    <row r="171" spans="1:6">
      <c r="A171" s="36"/>
      <c r="B171" s="36"/>
      <c r="C171" s="33"/>
      <c r="D171" s="2" t="s">
        <v>31</v>
      </c>
      <c r="E171" s="4">
        <v>4</v>
      </c>
      <c r="F171" s="30" t="s">
        <v>47</v>
      </c>
    </row>
    <row r="172" spans="1:6">
      <c r="A172" s="36"/>
      <c r="B172" s="36"/>
      <c r="C172" s="33"/>
      <c r="D172" s="2" t="s">
        <v>265</v>
      </c>
      <c r="E172" s="4">
        <v>4</v>
      </c>
      <c r="F172" s="30" t="s">
        <v>47</v>
      </c>
    </row>
    <row r="173" spans="1:6">
      <c r="A173" s="36"/>
      <c r="B173" s="36"/>
      <c r="C173" s="33"/>
      <c r="D173" s="2" t="s">
        <v>266</v>
      </c>
      <c r="E173" s="4">
        <v>4</v>
      </c>
      <c r="F173" s="30" t="s">
        <v>47</v>
      </c>
    </row>
    <row r="174" spans="1:6">
      <c r="A174" s="36"/>
      <c r="B174" s="36"/>
      <c r="C174" s="33"/>
      <c r="D174" s="2" t="s">
        <v>264</v>
      </c>
      <c r="E174" s="4">
        <v>2</v>
      </c>
      <c r="F174" s="30" t="s">
        <v>47</v>
      </c>
    </row>
    <row r="175" spans="1:6">
      <c r="A175" s="36"/>
      <c r="B175" s="36"/>
      <c r="C175" s="33"/>
      <c r="D175" s="2" t="s">
        <v>267</v>
      </c>
      <c r="E175" s="4">
        <v>0.5</v>
      </c>
      <c r="F175" s="30" t="s">
        <v>47</v>
      </c>
    </row>
    <row r="176" spans="1:6">
      <c r="A176" s="36"/>
      <c r="B176" s="36"/>
      <c r="C176" s="33"/>
      <c r="D176" s="2" t="s">
        <v>126</v>
      </c>
      <c r="E176" s="4">
        <v>1</v>
      </c>
      <c r="F176" s="30" t="s">
        <v>13</v>
      </c>
    </row>
    <row r="177" spans="1:6">
      <c r="A177" s="36"/>
      <c r="B177" s="36"/>
      <c r="C177" s="34"/>
      <c r="D177" s="2" t="s">
        <v>207</v>
      </c>
      <c r="E177" s="4">
        <v>1</v>
      </c>
      <c r="F177" s="30" t="s">
        <v>13</v>
      </c>
    </row>
    <row r="178" spans="1:6">
      <c r="A178" s="36" t="s">
        <v>371</v>
      </c>
      <c r="B178" s="36">
        <v>598</v>
      </c>
      <c r="C178" s="31" t="s">
        <v>372</v>
      </c>
      <c r="D178" s="2" t="s">
        <v>373</v>
      </c>
      <c r="E178" s="4">
        <v>700</v>
      </c>
      <c r="F178" s="30" t="s">
        <v>9</v>
      </c>
    </row>
    <row r="179" spans="1:6">
      <c r="A179" s="36"/>
      <c r="B179" s="36"/>
      <c r="C179" s="33"/>
      <c r="D179" s="2" t="s">
        <v>74</v>
      </c>
      <c r="E179" s="4">
        <v>2</v>
      </c>
      <c r="F179" s="30" t="s">
        <v>13</v>
      </c>
    </row>
    <row r="180" spans="1:6">
      <c r="A180" s="36"/>
      <c r="B180" s="36"/>
      <c r="C180" s="33"/>
      <c r="D180" s="2" t="s">
        <v>61</v>
      </c>
      <c r="E180" s="4">
        <v>170</v>
      </c>
      <c r="F180" s="30" t="s">
        <v>9</v>
      </c>
    </row>
    <row r="181" spans="1:6">
      <c r="A181" s="36"/>
      <c r="B181" s="36"/>
      <c r="C181" s="33"/>
      <c r="D181" s="2" t="s">
        <v>374</v>
      </c>
      <c r="E181" s="4">
        <v>8</v>
      </c>
      <c r="F181" s="30" t="s">
        <v>9</v>
      </c>
    </row>
    <row r="182" spans="1:6">
      <c r="A182" s="36"/>
      <c r="B182" s="36"/>
      <c r="C182" s="33"/>
      <c r="D182" s="2" t="s">
        <v>375</v>
      </c>
      <c r="E182" s="4">
        <v>200</v>
      </c>
      <c r="F182" s="30" t="s">
        <v>32</v>
      </c>
    </row>
    <row r="183" spans="1:6">
      <c r="A183" s="36"/>
      <c r="B183" s="36"/>
      <c r="C183" s="33"/>
      <c r="D183" s="2" t="s">
        <v>115</v>
      </c>
      <c r="E183" s="4">
        <v>2</v>
      </c>
      <c r="F183" s="30" t="s">
        <v>13</v>
      </c>
    </row>
    <row r="184" spans="1:6">
      <c r="A184" s="36"/>
      <c r="B184" s="36"/>
      <c r="C184" s="33"/>
      <c r="D184" s="2" t="s">
        <v>14</v>
      </c>
      <c r="E184" s="4">
        <v>1</v>
      </c>
      <c r="F184" s="30" t="s">
        <v>13</v>
      </c>
    </row>
    <row r="185" spans="1:6">
      <c r="A185" s="36"/>
      <c r="B185" s="36"/>
      <c r="C185" s="33"/>
      <c r="D185" s="2" t="s">
        <v>15</v>
      </c>
      <c r="E185" s="4">
        <v>1</v>
      </c>
      <c r="F185" s="30" t="s">
        <v>13</v>
      </c>
    </row>
    <row r="186" spans="1:6">
      <c r="A186" s="36"/>
      <c r="B186" s="36"/>
      <c r="C186" s="34"/>
      <c r="D186" s="2" t="s">
        <v>16</v>
      </c>
      <c r="E186" s="4">
        <v>1</v>
      </c>
      <c r="F186" s="30" t="s">
        <v>13</v>
      </c>
    </row>
  </sheetData>
  <mergeCells count="45">
    <mergeCell ref="A2:A10"/>
    <mergeCell ref="B2:B10"/>
    <mergeCell ref="B11:B21"/>
    <mergeCell ref="A11:A21"/>
    <mergeCell ref="B22:B36"/>
    <mergeCell ref="A22:A36"/>
    <mergeCell ref="B37:B45"/>
    <mergeCell ref="A37:A45"/>
    <mergeCell ref="B46:B58"/>
    <mergeCell ref="A46:A58"/>
    <mergeCell ref="A59:A65"/>
    <mergeCell ref="B59:B65"/>
    <mergeCell ref="B66:B80"/>
    <mergeCell ref="A66:A80"/>
    <mergeCell ref="B81:B94"/>
    <mergeCell ref="A81:A94"/>
    <mergeCell ref="B95:B108"/>
    <mergeCell ref="A95:A108"/>
    <mergeCell ref="B109:B124"/>
    <mergeCell ref="A109:A124"/>
    <mergeCell ref="B125:B141"/>
    <mergeCell ref="A125:A141"/>
    <mergeCell ref="B142:B153"/>
    <mergeCell ref="A142:A153"/>
    <mergeCell ref="B154:B164"/>
    <mergeCell ref="A154:A164"/>
    <mergeCell ref="B165:B177"/>
    <mergeCell ref="A165:A177"/>
    <mergeCell ref="B178:B186"/>
    <mergeCell ref="A178:A186"/>
    <mergeCell ref="C2:C10"/>
    <mergeCell ref="C11:C21"/>
    <mergeCell ref="C22:C36"/>
    <mergeCell ref="C37:C45"/>
    <mergeCell ref="C46:C58"/>
    <mergeCell ref="C59:C65"/>
    <mergeCell ref="C66:C80"/>
    <mergeCell ref="C81:C94"/>
    <mergeCell ref="C95:C108"/>
    <mergeCell ref="C109:C124"/>
    <mergeCell ref="C125:C141"/>
    <mergeCell ref="C142:C153"/>
    <mergeCell ref="C154:C164"/>
    <mergeCell ref="C165:C177"/>
    <mergeCell ref="C178:C186"/>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38B6DC9-F592-4BD4-B22E-0141233580B8}">
          <x14:formula1>
            <xm:f>Otros!$B$3:$B$6</xm:f>
          </x14:formula1>
          <xm:sqref>F2:F1048576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B5DC5-38CB-4715-87EB-9DE1F71E8A72}">
  <dimension ref="A1:F120"/>
  <sheetViews>
    <sheetView workbookViewId="0">
      <pane ySplit="1" topLeftCell="A108" activePane="bottomLeft" state="frozen"/>
      <selection pane="bottomLeft" activeCell="C121" sqref="C121"/>
      <selection activeCell="B2" sqref="B2:B28"/>
    </sheetView>
  </sheetViews>
  <sheetFormatPr defaultColWidth="11.5703125" defaultRowHeight="15" customHeight="1"/>
  <cols>
    <col min="1" max="1" width="39.140625" style="7" bestFit="1" customWidth="1"/>
    <col min="2" max="3" width="10.28515625" style="7" customWidth="1"/>
    <col min="4" max="4" width="28.7109375" style="9" bestFit="1" customWidth="1"/>
    <col min="5" max="16384" width="11.5703125" style="9"/>
  </cols>
  <sheetData>
    <row r="1" spans="1:6">
      <c r="A1" s="30" t="str">
        <f>Sopas!A1</f>
        <v>Plato</v>
      </c>
      <c r="B1" s="30" t="s">
        <v>1</v>
      </c>
      <c r="C1" s="30" t="s">
        <v>2</v>
      </c>
      <c r="D1" s="2" t="str">
        <f>Sopas!D1</f>
        <v>Ingredientes</v>
      </c>
      <c r="E1" s="3" t="str">
        <f>Sopas!E1</f>
        <v>Cantidades</v>
      </c>
      <c r="F1" s="30" t="str">
        <f>Sopas!F1</f>
        <v>Unidades</v>
      </c>
    </row>
    <row r="2" spans="1:6">
      <c r="A2" s="36" t="s">
        <v>376</v>
      </c>
      <c r="B2" s="36">
        <v>618</v>
      </c>
      <c r="C2" s="31" t="s">
        <v>377</v>
      </c>
      <c r="D2" s="2" t="s">
        <v>74</v>
      </c>
      <c r="E2" s="4">
        <v>4</v>
      </c>
      <c r="F2" s="30" t="s">
        <v>13</v>
      </c>
    </row>
    <row r="3" spans="1:6">
      <c r="A3" s="36"/>
      <c r="B3" s="36"/>
      <c r="C3" s="33"/>
      <c r="D3" s="2" t="s">
        <v>378</v>
      </c>
      <c r="E3" s="4">
        <v>4</v>
      </c>
      <c r="F3" s="30" t="s">
        <v>47</v>
      </c>
    </row>
    <row r="4" spans="1:6">
      <c r="A4" s="36"/>
      <c r="B4" s="36"/>
      <c r="C4" s="33"/>
      <c r="D4" s="2" t="s">
        <v>379</v>
      </c>
      <c r="E4" s="4">
        <v>50</v>
      </c>
      <c r="F4" s="30" t="s">
        <v>9</v>
      </c>
    </row>
    <row r="5" spans="1:6">
      <c r="A5" s="36"/>
      <c r="B5" s="36"/>
      <c r="C5" s="33"/>
      <c r="D5" s="2" t="s">
        <v>69</v>
      </c>
      <c r="E5" s="4">
        <v>500</v>
      </c>
      <c r="F5" s="30" t="s">
        <v>32</v>
      </c>
    </row>
    <row r="6" spans="1:6">
      <c r="A6" s="36"/>
      <c r="B6" s="36"/>
      <c r="C6" s="33"/>
      <c r="D6" s="2" t="s">
        <v>256</v>
      </c>
      <c r="E6" s="4">
        <v>100</v>
      </c>
      <c r="F6" s="30" t="s">
        <v>9</v>
      </c>
    </row>
    <row r="7" spans="1:6">
      <c r="A7" s="36"/>
      <c r="B7" s="36"/>
      <c r="C7" s="33"/>
      <c r="D7" s="2" t="s">
        <v>380</v>
      </c>
      <c r="E7" s="4">
        <v>150</v>
      </c>
      <c r="F7" s="30" t="s">
        <v>9</v>
      </c>
    </row>
    <row r="8" spans="1:6">
      <c r="A8" s="36"/>
      <c r="B8" s="36"/>
      <c r="C8" s="33"/>
      <c r="D8" s="2" t="s">
        <v>381</v>
      </c>
      <c r="E8" s="4">
        <v>15</v>
      </c>
      <c r="F8" s="30" t="s">
        <v>13</v>
      </c>
    </row>
    <row r="9" spans="1:6">
      <c r="A9" s="36"/>
      <c r="B9" s="36"/>
      <c r="C9" s="34"/>
      <c r="D9" s="2" t="s">
        <v>382</v>
      </c>
      <c r="E9" s="4">
        <v>1</v>
      </c>
      <c r="F9" s="30" t="s">
        <v>13</v>
      </c>
    </row>
    <row r="10" spans="1:6">
      <c r="A10" s="36" t="s">
        <v>383</v>
      </c>
      <c r="B10" s="36">
        <v>622</v>
      </c>
      <c r="C10" s="31" t="s">
        <v>384</v>
      </c>
      <c r="D10" s="2" t="s">
        <v>385</v>
      </c>
      <c r="E10" s="4">
        <v>210</v>
      </c>
      <c r="F10" s="30" t="s">
        <v>9</v>
      </c>
    </row>
    <row r="11" spans="1:6">
      <c r="A11" s="36"/>
      <c r="B11" s="36"/>
      <c r="C11" s="33"/>
      <c r="D11" s="2" t="s">
        <v>386</v>
      </c>
      <c r="E11" s="4">
        <v>340</v>
      </c>
      <c r="F11" s="30" t="s">
        <v>9</v>
      </c>
    </row>
    <row r="12" spans="1:6">
      <c r="A12" s="36"/>
      <c r="B12" s="36"/>
      <c r="C12" s="33"/>
      <c r="D12" s="2" t="s">
        <v>387</v>
      </c>
      <c r="E12" s="4">
        <v>30</v>
      </c>
      <c r="F12" s="30" t="s">
        <v>9</v>
      </c>
    </row>
    <row r="13" spans="1:6">
      <c r="A13" s="36"/>
      <c r="B13" s="36"/>
      <c r="C13" s="33"/>
      <c r="D13" s="2" t="s">
        <v>388</v>
      </c>
      <c r="E13" s="4">
        <v>1</v>
      </c>
      <c r="F13" s="30" t="s">
        <v>13</v>
      </c>
    </row>
    <row r="14" spans="1:6">
      <c r="A14" s="36"/>
      <c r="B14" s="36"/>
      <c r="C14" s="33"/>
      <c r="D14" s="2" t="s">
        <v>79</v>
      </c>
      <c r="E14" s="4">
        <v>200</v>
      </c>
      <c r="F14" s="30" t="s">
        <v>32</v>
      </c>
    </row>
    <row r="15" spans="1:6">
      <c r="A15" s="36"/>
      <c r="B15" s="36"/>
      <c r="C15" s="33"/>
      <c r="D15" s="2" t="s">
        <v>389</v>
      </c>
      <c r="E15" s="4">
        <v>200</v>
      </c>
      <c r="F15" s="30" t="s">
        <v>9</v>
      </c>
    </row>
    <row r="16" spans="1:6">
      <c r="A16" s="36"/>
      <c r="B16" s="36"/>
      <c r="C16" s="33"/>
      <c r="D16" s="2" t="s">
        <v>381</v>
      </c>
      <c r="E16" s="4">
        <v>16</v>
      </c>
      <c r="F16" s="30" t="s">
        <v>13</v>
      </c>
    </row>
    <row r="17" spans="1:6">
      <c r="A17" s="36"/>
      <c r="B17" s="36"/>
      <c r="C17" s="34"/>
      <c r="D17" s="2" t="s">
        <v>382</v>
      </c>
      <c r="E17" s="4">
        <v>1</v>
      </c>
      <c r="F17" s="30" t="s">
        <v>13</v>
      </c>
    </row>
    <row r="18" spans="1:6">
      <c r="A18" s="36" t="s">
        <v>390</v>
      </c>
      <c r="B18" s="36">
        <v>628</v>
      </c>
      <c r="C18" s="31" t="s">
        <v>391</v>
      </c>
      <c r="D18" s="2" t="s">
        <v>392</v>
      </c>
      <c r="E18" s="4">
        <v>1</v>
      </c>
      <c r="F18" s="30" t="s">
        <v>13</v>
      </c>
    </row>
    <row r="19" spans="1:6">
      <c r="A19" s="36"/>
      <c r="B19" s="36"/>
      <c r="C19" s="33"/>
      <c r="D19" s="2" t="s">
        <v>393</v>
      </c>
      <c r="E19" s="4">
        <v>125</v>
      </c>
      <c r="F19" s="30" t="s">
        <v>9</v>
      </c>
    </row>
    <row r="20" spans="1:6">
      <c r="A20" s="36"/>
      <c r="B20" s="36"/>
      <c r="C20" s="33"/>
      <c r="D20" s="2" t="s">
        <v>394</v>
      </c>
      <c r="E20" s="4">
        <v>125</v>
      </c>
      <c r="F20" s="30" t="s">
        <v>9</v>
      </c>
    </row>
    <row r="21" spans="1:6">
      <c r="A21" s="36"/>
      <c r="B21" s="36"/>
      <c r="C21" s="33"/>
      <c r="D21" s="2" t="s">
        <v>256</v>
      </c>
      <c r="E21" s="4">
        <v>50</v>
      </c>
      <c r="F21" s="30" t="s">
        <v>9</v>
      </c>
    </row>
    <row r="22" spans="1:6">
      <c r="A22" s="36"/>
      <c r="B22" s="36"/>
      <c r="C22" s="34"/>
      <c r="D22" s="2" t="s">
        <v>382</v>
      </c>
      <c r="E22" s="4">
        <v>1</v>
      </c>
      <c r="F22" s="30" t="s">
        <v>13</v>
      </c>
    </row>
    <row r="23" spans="1:6">
      <c r="A23" s="36" t="s">
        <v>395</v>
      </c>
      <c r="B23" s="36">
        <v>632</v>
      </c>
      <c r="C23" s="31" t="s">
        <v>396</v>
      </c>
      <c r="D23" s="2" t="s">
        <v>397</v>
      </c>
      <c r="E23" s="4">
        <v>500</v>
      </c>
      <c r="F23" s="30" t="s">
        <v>9</v>
      </c>
    </row>
    <row r="24" spans="1:6">
      <c r="A24" s="36"/>
      <c r="B24" s="36"/>
      <c r="C24" s="33"/>
      <c r="D24" s="2" t="s">
        <v>398</v>
      </c>
      <c r="E24" s="4">
        <v>100</v>
      </c>
      <c r="F24" s="30" t="s">
        <v>9</v>
      </c>
    </row>
    <row r="25" spans="1:6">
      <c r="A25" s="36"/>
      <c r="B25" s="36"/>
      <c r="C25" s="33"/>
      <c r="D25" s="2" t="s">
        <v>399</v>
      </c>
      <c r="E25" s="4">
        <v>50</v>
      </c>
      <c r="F25" s="30" t="s">
        <v>9</v>
      </c>
    </row>
    <row r="26" spans="1:6">
      <c r="A26" s="36"/>
      <c r="B26" s="36"/>
      <c r="C26" s="33"/>
      <c r="D26" s="2" t="s">
        <v>79</v>
      </c>
      <c r="E26" s="4">
        <v>150</v>
      </c>
      <c r="F26" s="30" t="s">
        <v>32</v>
      </c>
    </row>
    <row r="27" spans="1:6">
      <c r="A27" s="36"/>
      <c r="B27" s="36"/>
      <c r="C27" s="34"/>
      <c r="D27" s="2" t="s">
        <v>382</v>
      </c>
      <c r="E27" s="4">
        <v>1</v>
      </c>
      <c r="F27" s="30" t="s">
        <v>13</v>
      </c>
    </row>
    <row r="28" spans="1:6">
      <c r="A28" s="36" t="s">
        <v>400</v>
      </c>
      <c r="B28" s="36">
        <v>633</v>
      </c>
      <c r="C28" s="31" t="s">
        <v>401</v>
      </c>
      <c r="D28" s="2" t="s">
        <v>402</v>
      </c>
      <c r="E28" s="4">
        <v>4</v>
      </c>
      <c r="F28" s="30" t="s">
        <v>13</v>
      </c>
    </row>
    <row r="29" spans="1:6">
      <c r="A29" s="36"/>
      <c r="B29" s="36"/>
      <c r="C29" s="33"/>
      <c r="D29" s="2" t="s">
        <v>272</v>
      </c>
      <c r="E29" s="4">
        <v>400</v>
      </c>
      <c r="F29" s="30" t="s">
        <v>32</v>
      </c>
    </row>
    <row r="30" spans="1:6">
      <c r="A30" s="36"/>
      <c r="B30" s="36"/>
      <c r="C30" s="33"/>
      <c r="D30" s="2" t="s">
        <v>227</v>
      </c>
      <c r="E30" s="4">
        <v>2</v>
      </c>
      <c r="F30" s="30" t="s">
        <v>13</v>
      </c>
    </row>
    <row r="31" spans="1:6">
      <c r="A31" s="36"/>
      <c r="B31" s="36"/>
      <c r="C31" s="33"/>
      <c r="D31" s="2" t="s">
        <v>256</v>
      </c>
      <c r="E31" s="4">
        <v>2</v>
      </c>
      <c r="F31" s="30" t="s">
        <v>47</v>
      </c>
    </row>
    <row r="32" spans="1:6">
      <c r="A32" s="36"/>
      <c r="B32" s="36"/>
      <c r="C32" s="33"/>
      <c r="D32" s="2" t="s">
        <v>232</v>
      </c>
      <c r="E32" s="4">
        <v>1</v>
      </c>
      <c r="F32" s="30" t="s">
        <v>13</v>
      </c>
    </row>
    <row r="33" spans="1:6">
      <c r="A33" s="36"/>
      <c r="B33" s="36"/>
      <c r="C33" s="34"/>
      <c r="D33" s="2" t="s">
        <v>382</v>
      </c>
      <c r="E33" s="4">
        <v>1</v>
      </c>
      <c r="F33" s="30" t="s">
        <v>13</v>
      </c>
    </row>
    <row r="34" spans="1:6">
      <c r="A34" s="36" t="s">
        <v>403</v>
      </c>
      <c r="B34" s="36">
        <v>634</v>
      </c>
      <c r="C34" s="31" t="s">
        <v>404</v>
      </c>
      <c r="D34" s="2" t="s">
        <v>61</v>
      </c>
      <c r="E34" s="4">
        <v>400</v>
      </c>
      <c r="F34" s="30" t="s">
        <v>9</v>
      </c>
    </row>
    <row r="35" spans="1:6">
      <c r="A35" s="36"/>
      <c r="B35" s="36"/>
      <c r="C35" s="33"/>
      <c r="D35" s="2" t="s">
        <v>16</v>
      </c>
      <c r="E35" s="4">
        <v>5</v>
      </c>
      <c r="F35" s="30" t="s">
        <v>9</v>
      </c>
    </row>
    <row r="36" spans="1:6">
      <c r="A36" s="36"/>
      <c r="B36" s="36"/>
      <c r="C36" s="33"/>
      <c r="D36" s="2" t="s">
        <v>374</v>
      </c>
      <c r="E36" s="4">
        <v>8</v>
      </c>
      <c r="F36" s="30" t="s">
        <v>9</v>
      </c>
    </row>
    <row r="37" spans="1:6">
      <c r="A37" s="36"/>
      <c r="B37" s="36"/>
      <c r="C37" s="33"/>
      <c r="D37" s="2" t="s">
        <v>256</v>
      </c>
      <c r="E37" s="4">
        <v>100</v>
      </c>
      <c r="F37" s="30" t="s">
        <v>9</v>
      </c>
    </row>
    <row r="38" spans="1:6">
      <c r="A38" s="36"/>
      <c r="B38" s="36"/>
      <c r="C38" s="33"/>
      <c r="D38" s="2" t="s">
        <v>75</v>
      </c>
      <c r="E38" s="4">
        <v>180</v>
      </c>
      <c r="F38" s="30" t="s">
        <v>9</v>
      </c>
    </row>
    <row r="39" spans="1:6">
      <c r="A39" s="36"/>
      <c r="B39" s="36"/>
      <c r="C39" s="33"/>
      <c r="D39" s="2" t="s">
        <v>74</v>
      </c>
      <c r="E39" s="4">
        <v>1</v>
      </c>
      <c r="F39" s="30" t="s">
        <v>13</v>
      </c>
    </row>
    <row r="40" spans="1:6">
      <c r="A40" s="36"/>
      <c r="B40" s="36"/>
      <c r="C40" s="33"/>
      <c r="D40" s="2" t="s">
        <v>405</v>
      </c>
      <c r="E40" s="4">
        <v>500</v>
      </c>
      <c r="F40" s="30" t="s">
        <v>9</v>
      </c>
    </row>
    <row r="41" spans="1:6">
      <c r="A41" s="36"/>
      <c r="B41" s="36"/>
      <c r="C41" s="33"/>
      <c r="D41" s="2" t="s">
        <v>267</v>
      </c>
      <c r="E41" s="4">
        <v>30</v>
      </c>
      <c r="F41" s="30" t="s">
        <v>9</v>
      </c>
    </row>
    <row r="42" spans="1:6">
      <c r="A42" s="36"/>
      <c r="B42" s="36"/>
      <c r="C42" s="33"/>
      <c r="D42" s="2" t="s">
        <v>256</v>
      </c>
      <c r="E42" s="4">
        <v>100</v>
      </c>
      <c r="F42" s="30" t="s">
        <v>9</v>
      </c>
    </row>
    <row r="43" spans="1:6">
      <c r="A43" s="36"/>
      <c r="B43" s="36"/>
      <c r="C43" s="33"/>
      <c r="D43" s="2" t="s">
        <v>232</v>
      </c>
      <c r="E43" s="4">
        <v>0.5</v>
      </c>
      <c r="F43" s="30" t="s">
        <v>47</v>
      </c>
    </row>
    <row r="44" spans="1:6">
      <c r="A44" s="36"/>
      <c r="B44" s="36"/>
      <c r="C44" s="33"/>
      <c r="D44" s="2" t="s">
        <v>406</v>
      </c>
      <c r="E44" s="4">
        <v>1</v>
      </c>
      <c r="F44" s="30" t="s">
        <v>47</v>
      </c>
    </row>
    <row r="45" spans="1:6">
      <c r="A45" s="36"/>
      <c r="B45" s="36"/>
      <c r="C45" s="33"/>
      <c r="D45" s="2" t="s">
        <v>61</v>
      </c>
      <c r="E45" s="4">
        <v>30</v>
      </c>
      <c r="F45" s="30" t="s">
        <v>9</v>
      </c>
    </row>
    <row r="46" spans="1:6">
      <c r="A46" s="36"/>
      <c r="B46" s="36"/>
      <c r="C46" s="33"/>
      <c r="D46" s="2" t="s">
        <v>239</v>
      </c>
      <c r="E46" s="4">
        <v>1</v>
      </c>
      <c r="F46" s="30" t="s">
        <v>13</v>
      </c>
    </row>
    <row r="47" spans="1:6">
      <c r="A47" s="36"/>
      <c r="B47" s="36"/>
      <c r="C47" s="33"/>
      <c r="D47" s="2" t="s">
        <v>399</v>
      </c>
      <c r="E47" s="4">
        <v>20</v>
      </c>
      <c r="F47" s="30" t="s">
        <v>9</v>
      </c>
    </row>
    <row r="48" spans="1:6">
      <c r="A48" s="36"/>
      <c r="B48" s="36"/>
      <c r="C48" s="34"/>
      <c r="D48" s="2" t="s">
        <v>382</v>
      </c>
      <c r="E48" s="4">
        <v>1</v>
      </c>
      <c r="F48" s="30" t="s">
        <v>13</v>
      </c>
    </row>
    <row r="49" spans="1:6">
      <c r="A49" s="36" t="s">
        <v>407</v>
      </c>
      <c r="B49" s="36">
        <v>636</v>
      </c>
      <c r="C49" s="31" t="s">
        <v>408</v>
      </c>
      <c r="D49" s="2" t="s">
        <v>61</v>
      </c>
      <c r="E49" s="4">
        <v>450</v>
      </c>
      <c r="F49" s="30" t="s">
        <v>9</v>
      </c>
    </row>
    <row r="50" spans="1:6">
      <c r="A50" s="36"/>
      <c r="B50" s="36"/>
      <c r="C50" s="33"/>
      <c r="D50" s="2" t="s">
        <v>256</v>
      </c>
      <c r="E50" s="4">
        <v>100</v>
      </c>
      <c r="F50" s="30" t="s">
        <v>9</v>
      </c>
    </row>
    <row r="51" spans="1:6">
      <c r="A51" s="36"/>
      <c r="B51" s="36"/>
      <c r="C51" s="33"/>
      <c r="D51" s="2" t="s">
        <v>374</v>
      </c>
      <c r="E51" s="4">
        <v>8</v>
      </c>
      <c r="F51" s="30" t="s">
        <v>9</v>
      </c>
    </row>
    <row r="52" spans="1:6">
      <c r="A52" s="36"/>
      <c r="B52" s="36"/>
      <c r="C52" s="33"/>
      <c r="D52" s="2" t="s">
        <v>16</v>
      </c>
      <c r="E52" s="4">
        <v>2</v>
      </c>
      <c r="F52" s="30" t="s">
        <v>9</v>
      </c>
    </row>
    <row r="53" spans="1:6">
      <c r="A53" s="36"/>
      <c r="B53" s="36"/>
      <c r="C53" s="33"/>
      <c r="D53" s="2" t="s">
        <v>75</v>
      </c>
      <c r="E53" s="4">
        <v>180</v>
      </c>
      <c r="F53" s="30" t="s">
        <v>9</v>
      </c>
    </row>
    <row r="54" spans="1:6">
      <c r="A54" s="36"/>
      <c r="B54" s="36"/>
      <c r="C54" s="33"/>
      <c r="D54" s="2" t="s">
        <v>74</v>
      </c>
      <c r="E54" s="4">
        <v>2</v>
      </c>
      <c r="F54" s="30" t="s">
        <v>13</v>
      </c>
    </row>
    <row r="55" spans="1:6">
      <c r="A55" s="36"/>
      <c r="B55" s="36"/>
      <c r="C55" s="33"/>
      <c r="D55" s="2" t="s">
        <v>409</v>
      </c>
      <c r="E55" s="4">
        <v>1000</v>
      </c>
      <c r="F55" s="30" t="s">
        <v>9</v>
      </c>
    </row>
    <row r="56" spans="1:6">
      <c r="A56" s="36"/>
      <c r="B56" s="36"/>
      <c r="C56" s="33"/>
      <c r="D56" s="2" t="s">
        <v>256</v>
      </c>
      <c r="E56" s="4">
        <v>200</v>
      </c>
      <c r="F56" s="30" t="s">
        <v>9</v>
      </c>
    </row>
    <row r="57" spans="1:6">
      <c r="A57" s="36"/>
      <c r="B57" s="36"/>
      <c r="C57" s="33"/>
      <c r="D57" s="2" t="s">
        <v>410</v>
      </c>
      <c r="E57" s="4">
        <v>10</v>
      </c>
      <c r="F57" s="30" t="s">
        <v>32</v>
      </c>
    </row>
    <row r="58" spans="1:6">
      <c r="A58" s="36"/>
      <c r="B58" s="36"/>
      <c r="C58" s="33"/>
      <c r="D58" s="2" t="s">
        <v>411</v>
      </c>
      <c r="E58" s="4">
        <v>1</v>
      </c>
      <c r="F58" s="30" t="s">
        <v>13</v>
      </c>
    </row>
    <row r="59" spans="1:6">
      <c r="A59" s="36"/>
      <c r="B59" s="36"/>
      <c r="C59" s="34"/>
      <c r="D59" s="2" t="s">
        <v>267</v>
      </c>
      <c r="E59" s="4">
        <v>30</v>
      </c>
      <c r="F59" s="30" t="s">
        <v>9</v>
      </c>
    </row>
    <row r="60" spans="1:6">
      <c r="A60" s="36" t="s">
        <v>412</v>
      </c>
      <c r="B60" s="36">
        <v>638</v>
      </c>
      <c r="C60" s="31" t="s">
        <v>413</v>
      </c>
      <c r="D60" s="2" t="s">
        <v>379</v>
      </c>
      <c r="E60" s="4">
        <v>44</v>
      </c>
      <c r="F60" s="30" t="s">
        <v>9</v>
      </c>
    </row>
    <row r="61" spans="1:6">
      <c r="A61" s="36"/>
      <c r="B61" s="36"/>
      <c r="C61" s="33"/>
      <c r="D61" s="2" t="s">
        <v>69</v>
      </c>
      <c r="E61" s="4">
        <v>190</v>
      </c>
      <c r="F61" s="30" t="s">
        <v>32</v>
      </c>
    </row>
    <row r="62" spans="1:6">
      <c r="A62" s="36"/>
      <c r="B62" s="36"/>
      <c r="C62" s="33"/>
      <c r="D62" s="2" t="s">
        <v>410</v>
      </c>
      <c r="E62" s="4">
        <v>1</v>
      </c>
      <c r="F62" s="30" t="s">
        <v>47</v>
      </c>
    </row>
    <row r="63" spans="1:6">
      <c r="A63" s="36"/>
      <c r="B63" s="36"/>
      <c r="C63" s="33"/>
      <c r="D63" s="2" t="s">
        <v>75</v>
      </c>
      <c r="E63" s="4">
        <v>110</v>
      </c>
      <c r="F63" s="30" t="s">
        <v>9</v>
      </c>
    </row>
    <row r="64" spans="1:6">
      <c r="A64" s="36"/>
      <c r="B64" s="36"/>
      <c r="C64" s="33"/>
      <c r="D64" s="2" t="s">
        <v>256</v>
      </c>
      <c r="E64" s="4">
        <v>234</v>
      </c>
      <c r="F64" s="30" t="s">
        <v>9</v>
      </c>
    </row>
    <row r="65" spans="1:6">
      <c r="A65" s="36"/>
      <c r="B65" s="36"/>
      <c r="C65" s="33"/>
      <c r="D65" s="2" t="s">
        <v>74</v>
      </c>
      <c r="E65" s="4">
        <v>2</v>
      </c>
      <c r="F65" s="30" t="s">
        <v>13</v>
      </c>
    </row>
    <row r="66" spans="1:6">
      <c r="A66" s="36"/>
      <c r="B66" s="36"/>
      <c r="C66" s="33"/>
      <c r="D66" s="2" t="s">
        <v>61</v>
      </c>
      <c r="E66" s="4">
        <v>150</v>
      </c>
      <c r="F66" s="30" t="s">
        <v>9</v>
      </c>
    </row>
    <row r="67" spans="1:6">
      <c r="A67" s="36"/>
      <c r="B67" s="36"/>
      <c r="C67" s="33"/>
      <c r="D67" s="2" t="s">
        <v>414</v>
      </c>
      <c r="E67" s="4">
        <v>8</v>
      </c>
      <c r="F67" s="30" t="s">
        <v>9</v>
      </c>
    </row>
    <row r="68" spans="1:6">
      <c r="A68" s="36"/>
      <c r="B68" s="36"/>
      <c r="C68" s="33"/>
      <c r="D68" s="2" t="s">
        <v>374</v>
      </c>
      <c r="E68" s="4">
        <v>16</v>
      </c>
      <c r="F68" s="30" t="s">
        <v>9</v>
      </c>
    </row>
    <row r="69" spans="1:6">
      <c r="A69" s="36"/>
      <c r="B69" s="36"/>
      <c r="C69" s="33"/>
      <c r="D69" s="2" t="s">
        <v>16</v>
      </c>
      <c r="E69" s="4">
        <v>1</v>
      </c>
      <c r="F69" s="30" t="s">
        <v>47</v>
      </c>
    </row>
    <row r="70" spans="1:6">
      <c r="A70" s="36"/>
      <c r="B70" s="36"/>
      <c r="C70" s="33"/>
      <c r="D70" s="2" t="s">
        <v>217</v>
      </c>
      <c r="E70" s="4">
        <v>125</v>
      </c>
      <c r="F70" s="30" t="s">
        <v>32</v>
      </c>
    </row>
    <row r="71" spans="1:6">
      <c r="A71" s="36"/>
      <c r="B71" s="36"/>
      <c r="C71" s="33"/>
      <c r="D71" s="2" t="s">
        <v>410</v>
      </c>
      <c r="E71" s="4">
        <v>1</v>
      </c>
      <c r="F71" s="30" t="s">
        <v>47</v>
      </c>
    </row>
    <row r="72" spans="1:6">
      <c r="A72" s="36"/>
      <c r="B72" s="36"/>
      <c r="C72" s="33"/>
      <c r="D72" s="2" t="s">
        <v>379</v>
      </c>
      <c r="E72" s="4">
        <v>55</v>
      </c>
      <c r="F72" s="30" t="s">
        <v>9</v>
      </c>
    </row>
    <row r="73" spans="1:6">
      <c r="A73" s="36"/>
      <c r="B73" s="36"/>
      <c r="C73" s="33"/>
      <c r="D73" s="2" t="s">
        <v>399</v>
      </c>
      <c r="E73" s="4">
        <v>265</v>
      </c>
      <c r="F73" s="30" t="s">
        <v>9</v>
      </c>
    </row>
    <row r="74" spans="1:6">
      <c r="A74" s="36"/>
      <c r="B74" s="36"/>
      <c r="C74" s="34"/>
      <c r="D74" s="2" t="s">
        <v>75</v>
      </c>
      <c r="E74" s="4">
        <v>95</v>
      </c>
      <c r="F74" s="30" t="s">
        <v>9</v>
      </c>
    </row>
    <row r="75" spans="1:6">
      <c r="A75" s="36" t="s">
        <v>415</v>
      </c>
      <c r="B75" s="36">
        <v>643</v>
      </c>
      <c r="C75" s="31" t="s">
        <v>416</v>
      </c>
      <c r="D75" s="2" t="s">
        <v>417</v>
      </c>
      <c r="E75" s="4">
        <v>600</v>
      </c>
      <c r="F75" s="30" t="s">
        <v>32</v>
      </c>
    </row>
    <row r="76" spans="1:6">
      <c r="A76" s="36"/>
      <c r="B76" s="36"/>
      <c r="C76" s="33"/>
      <c r="D76" s="2" t="s">
        <v>418</v>
      </c>
      <c r="E76" s="4">
        <v>12</v>
      </c>
      <c r="F76" s="30" t="s">
        <v>13</v>
      </c>
    </row>
    <row r="77" spans="1:6">
      <c r="A77" s="36"/>
      <c r="B77" s="36"/>
      <c r="C77" s="33"/>
      <c r="D77" s="2" t="s">
        <v>397</v>
      </c>
      <c r="E77" s="4">
        <v>18</v>
      </c>
      <c r="F77" s="30" t="s">
        <v>13</v>
      </c>
    </row>
    <row r="78" spans="1:6">
      <c r="A78" s="36"/>
      <c r="B78" s="36"/>
      <c r="C78" s="33"/>
      <c r="D78" s="2" t="s">
        <v>256</v>
      </c>
      <c r="E78" s="4">
        <v>1</v>
      </c>
      <c r="F78" s="30" t="s">
        <v>47</v>
      </c>
    </row>
    <row r="79" spans="1:6">
      <c r="A79" s="36"/>
      <c r="B79" s="36"/>
      <c r="C79" s="34"/>
      <c r="D79" s="2" t="s">
        <v>382</v>
      </c>
      <c r="E79" s="4">
        <v>1</v>
      </c>
      <c r="F79" s="30" t="s">
        <v>13</v>
      </c>
    </row>
    <row r="80" spans="1:6">
      <c r="A80" s="36" t="s">
        <v>419</v>
      </c>
      <c r="B80" s="36">
        <v>652</v>
      </c>
      <c r="C80" s="31" t="s">
        <v>420</v>
      </c>
      <c r="D80" s="2" t="s">
        <v>54</v>
      </c>
      <c r="E80" s="4">
        <v>4</v>
      </c>
      <c r="F80" s="30" t="s">
        <v>13</v>
      </c>
    </row>
    <row r="81" spans="1:6">
      <c r="A81" s="36"/>
      <c r="B81" s="36"/>
      <c r="C81" s="33"/>
      <c r="D81" s="2" t="s">
        <v>69</v>
      </c>
      <c r="E81" s="4">
        <v>250</v>
      </c>
      <c r="F81" s="30" t="s">
        <v>32</v>
      </c>
    </row>
    <row r="82" spans="1:6">
      <c r="A82" s="36"/>
      <c r="B82" s="36"/>
      <c r="C82" s="33"/>
      <c r="D82" s="2" t="s">
        <v>256</v>
      </c>
      <c r="E82" s="4">
        <v>50</v>
      </c>
      <c r="F82" s="30" t="s">
        <v>9</v>
      </c>
    </row>
    <row r="83" spans="1:6">
      <c r="A83" s="36"/>
      <c r="B83" s="36"/>
      <c r="C83" s="33"/>
      <c r="D83" s="2" t="s">
        <v>267</v>
      </c>
      <c r="E83" s="4">
        <v>20</v>
      </c>
      <c r="F83" s="30" t="s">
        <v>9</v>
      </c>
    </row>
    <row r="84" spans="1:6">
      <c r="A84" s="36"/>
      <c r="B84" s="36"/>
      <c r="C84" s="33"/>
      <c r="D84" s="2" t="s">
        <v>74</v>
      </c>
      <c r="E84" s="4">
        <v>1</v>
      </c>
      <c r="F84" s="30" t="s">
        <v>13</v>
      </c>
    </row>
    <row r="85" spans="1:6">
      <c r="A85" s="36"/>
      <c r="B85" s="36"/>
      <c r="C85" s="33"/>
      <c r="D85" s="2" t="s">
        <v>239</v>
      </c>
      <c r="E85" s="4">
        <v>1</v>
      </c>
      <c r="F85" s="30" t="s">
        <v>13</v>
      </c>
    </row>
    <row r="86" spans="1:6">
      <c r="A86" s="36"/>
      <c r="B86" s="36"/>
      <c r="C86" s="33"/>
      <c r="D86" s="2" t="s">
        <v>421</v>
      </c>
      <c r="E86" s="4">
        <v>1</v>
      </c>
      <c r="F86" s="30" t="s">
        <v>13</v>
      </c>
    </row>
    <row r="87" spans="1:6">
      <c r="A87" s="36"/>
      <c r="B87" s="36"/>
      <c r="C87" s="33"/>
      <c r="D87" s="2" t="s">
        <v>422</v>
      </c>
      <c r="E87" s="4">
        <v>1</v>
      </c>
      <c r="F87" s="30" t="s">
        <v>13</v>
      </c>
    </row>
    <row r="88" spans="1:6">
      <c r="A88" s="36"/>
      <c r="B88" s="36"/>
      <c r="C88" s="33"/>
      <c r="D88" s="2" t="s">
        <v>423</v>
      </c>
      <c r="E88" s="4">
        <v>3</v>
      </c>
      <c r="F88" s="30" t="s">
        <v>47</v>
      </c>
    </row>
    <row r="89" spans="1:6">
      <c r="A89" s="36"/>
      <c r="B89" s="36"/>
      <c r="C89" s="33"/>
      <c r="D89" s="2" t="s">
        <v>61</v>
      </c>
      <c r="E89" s="4">
        <v>275</v>
      </c>
      <c r="F89" s="30" t="s">
        <v>9</v>
      </c>
    </row>
    <row r="90" spans="1:6">
      <c r="A90" s="36"/>
      <c r="B90" s="36"/>
      <c r="C90" s="33"/>
      <c r="D90" s="2" t="s">
        <v>75</v>
      </c>
      <c r="E90" s="4">
        <v>125</v>
      </c>
      <c r="F90" s="30" t="s">
        <v>9</v>
      </c>
    </row>
    <row r="91" spans="1:6">
      <c r="A91" s="36"/>
      <c r="B91" s="36"/>
      <c r="C91" s="33"/>
      <c r="D91" s="2" t="s">
        <v>424</v>
      </c>
      <c r="E91" s="4">
        <v>60</v>
      </c>
      <c r="F91" s="30" t="s">
        <v>32</v>
      </c>
    </row>
    <row r="92" spans="1:6">
      <c r="A92" s="36"/>
      <c r="B92" s="36"/>
      <c r="C92" s="34"/>
      <c r="D92" s="2" t="s">
        <v>16</v>
      </c>
      <c r="E92" s="4">
        <v>1</v>
      </c>
      <c r="F92" s="30" t="s">
        <v>47</v>
      </c>
    </row>
    <row r="93" spans="1:6">
      <c r="A93" s="36" t="s">
        <v>425</v>
      </c>
      <c r="B93" s="36">
        <v>664</v>
      </c>
      <c r="C93" s="31" t="s">
        <v>426</v>
      </c>
      <c r="D93" s="2" t="s">
        <v>131</v>
      </c>
      <c r="E93" s="4">
        <v>2</v>
      </c>
      <c r="F93" s="30" t="s">
        <v>13</v>
      </c>
    </row>
    <row r="94" spans="1:6">
      <c r="A94" s="36"/>
      <c r="B94" s="36"/>
      <c r="C94" s="33"/>
      <c r="D94" s="2" t="s">
        <v>69</v>
      </c>
      <c r="E94" s="4">
        <v>500</v>
      </c>
      <c r="F94" s="30" t="s">
        <v>32</v>
      </c>
    </row>
    <row r="95" spans="1:6">
      <c r="A95" s="36"/>
      <c r="B95" s="36"/>
      <c r="C95" s="33"/>
      <c r="D95" s="2" t="s">
        <v>378</v>
      </c>
      <c r="E95" s="4">
        <v>2</v>
      </c>
      <c r="F95" s="30" t="s">
        <v>47</v>
      </c>
    </row>
    <row r="96" spans="1:6">
      <c r="A96" s="36"/>
      <c r="B96" s="36"/>
      <c r="C96" s="33"/>
      <c r="D96" s="2" t="s">
        <v>232</v>
      </c>
      <c r="E96" s="4">
        <v>1</v>
      </c>
      <c r="F96" s="30" t="s">
        <v>13</v>
      </c>
    </row>
    <row r="97" spans="1:6">
      <c r="A97" s="36"/>
      <c r="B97" s="36"/>
      <c r="C97" s="33"/>
      <c r="D97" s="2" t="s">
        <v>427</v>
      </c>
      <c r="E97" s="4">
        <v>3</v>
      </c>
      <c r="F97" s="30" t="s">
        <v>13</v>
      </c>
    </row>
    <row r="98" spans="1:6">
      <c r="A98" s="36"/>
      <c r="B98" s="36"/>
      <c r="C98" s="33"/>
      <c r="D98" s="2" t="s">
        <v>421</v>
      </c>
      <c r="E98" s="4">
        <v>3</v>
      </c>
      <c r="F98" s="30" t="s">
        <v>13</v>
      </c>
    </row>
    <row r="99" spans="1:6">
      <c r="A99" s="36"/>
      <c r="B99" s="36"/>
      <c r="C99" s="33"/>
      <c r="D99" s="2" t="s">
        <v>256</v>
      </c>
      <c r="E99" s="4">
        <v>4</v>
      </c>
      <c r="F99" s="30" t="s">
        <v>47</v>
      </c>
    </row>
    <row r="100" spans="1:6">
      <c r="A100" s="36"/>
      <c r="B100" s="36"/>
      <c r="C100" s="34"/>
      <c r="D100" s="2" t="s">
        <v>428</v>
      </c>
      <c r="E100" s="4">
        <v>1</v>
      </c>
      <c r="F100" s="30" t="s">
        <v>13</v>
      </c>
    </row>
    <row r="101" spans="1:6">
      <c r="A101" s="36" t="s">
        <v>429</v>
      </c>
      <c r="B101" s="36">
        <v>673</v>
      </c>
      <c r="C101" s="31" t="s">
        <v>430</v>
      </c>
      <c r="D101" s="2" t="s">
        <v>431</v>
      </c>
      <c r="E101" s="4">
        <v>300</v>
      </c>
      <c r="F101" s="30" t="s">
        <v>9</v>
      </c>
    </row>
    <row r="102" spans="1:6">
      <c r="A102" s="36"/>
      <c r="B102" s="36"/>
      <c r="C102" s="33"/>
      <c r="D102" s="2" t="s">
        <v>74</v>
      </c>
      <c r="E102" s="4">
        <v>2</v>
      </c>
      <c r="F102" s="30" t="s">
        <v>13</v>
      </c>
    </row>
    <row r="103" spans="1:6">
      <c r="A103" s="36"/>
      <c r="B103" s="36"/>
      <c r="C103" s="33"/>
      <c r="D103" s="2" t="s">
        <v>256</v>
      </c>
      <c r="E103" s="4">
        <v>100</v>
      </c>
      <c r="F103" s="30" t="s">
        <v>9</v>
      </c>
    </row>
    <row r="104" spans="1:6">
      <c r="A104" s="36"/>
      <c r="B104" s="36"/>
      <c r="C104" s="33"/>
      <c r="D104" s="2" t="s">
        <v>61</v>
      </c>
      <c r="E104" s="4">
        <v>10</v>
      </c>
      <c r="F104" s="30" t="s">
        <v>9</v>
      </c>
    </row>
    <row r="105" spans="1:6">
      <c r="A105" s="36"/>
      <c r="B105" s="36"/>
      <c r="C105" s="33"/>
      <c r="D105" s="2" t="s">
        <v>217</v>
      </c>
      <c r="E105" s="4">
        <v>125</v>
      </c>
      <c r="F105" s="30" t="s">
        <v>32</v>
      </c>
    </row>
    <row r="106" spans="1:6">
      <c r="A106" s="36"/>
      <c r="B106" s="36"/>
      <c r="C106" s="34"/>
      <c r="D106" s="2" t="s">
        <v>423</v>
      </c>
      <c r="E106" s="4">
        <v>4</v>
      </c>
      <c r="F106" s="30" t="s">
        <v>47</v>
      </c>
    </row>
    <row r="107" spans="1:6">
      <c r="A107" s="36" t="s">
        <v>432</v>
      </c>
      <c r="B107" s="36">
        <v>676</v>
      </c>
      <c r="C107" s="31" t="s">
        <v>433</v>
      </c>
      <c r="D107" s="2" t="s">
        <v>74</v>
      </c>
      <c r="E107" s="4">
        <v>6</v>
      </c>
      <c r="F107" s="30" t="s">
        <v>13</v>
      </c>
    </row>
    <row r="108" spans="1:6">
      <c r="A108" s="36"/>
      <c r="B108" s="36"/>
      <c r="C108" s="33"/>
      <c r="D108" s="2" t="s">
        <v>393</v>
      </c>
      <c r="E108" s="4">
        <v>150</v>
      </c>
      <c r="F108" s="30" t="s">
        <v>9</v>
      </c>
    </row>
    <row r="109" spans="1:6">
      <c r="A109" s="36"/>
      <c r="B109" s="36"/>
      <c r="C109" s="33"/>
      <c r="D109" s="2" t="s">
        <v>379</v>
      </c>
      <c r="E109" s="4">
        <v>12</v>
      </c>
      <c r="F109" s="30" t="s">
        <v>9</v>
      </c>
    </row>
    <row r="110" spans="1:6">
      <c r="A110" s="36"/>
      <c r="B110" s="36"/>
      <c r="C110" s="33"/>
      <c r="D110" s="2" t="s">
        <v>256</v>
      </c>
      <c r="E110" s="4">
        <v>150</v>
      </c>
      <c r="F110" s="30" t="s">
        <v>9</v>
      </c>
    </row>
    <row r="111" spans="1:6">
      <c r="A111" s="36"/>
      <c r="B111" s="36"/>
      <c r="C111" s="33"/>
      <c r="D111" s="2" t="s">
        <v>397</v>
      </c>
      <c r="E111" s="4">
        <v>8</v>
      </c>
      <c r="F111" s="30" t="s">
        <v>13</v>
      </c>
    </row>
    <row r="112" spans="1:6">
      <c r="A112" s="36"/>
      <c r="B112" s="36"/>
      <c r="C112" s="33"/>
      <c r="D112" s="2" t="s">
        <v>434</v>
      </c>
      <c r="E112" s="4">
        <v>1</v>
      </c>
      <c r="F112" s="30" t="s">
        <v>13</v>
      </c>
    </row>
    <row r="113" spans="1:6">
      <c r="A113" s="36"/>
      <c r="B113" s="36"/>
      <c r="C113" s="33"/>
      <c r="D113" s="2" t="s">
        <v>14</v>
      </c>
      <c r="E113" s="4">
        <v>1</v>
      </c>
      <c r="F113" s="30" t="s">
        <v>13</v>
      </c>
    </row>
    <row r="114" spans="1:6">
      <c r="A114" s="36"/>
      <c r="B114" s="36"/>
      <c r="C114" s="33"/>
      <c r="D114" s="2" t="s">
        <v>435</v>
      </c>
      <c r="E114" s="4">
        <v>100</v>
      </c>
      <c r="F114" s="30" t="s">
        <v>32</v>
      </c>
    </row>
    <row r="115" spans="1:6">
      <c r="A115" s="36"/>
      <c r="B115" s="36"/>
      <c r="C115" s="33"/>
      <c r="D115" s="2" t="s">
        <v>399</v>
      </c>
      <c r="E115" s="4">
        <v>20</v>
      </c>
      <c r="F115" s="30" t="s">
        <v>9</v>
      </c>
    </row>
    <row r="116" spans="1:6">
      <c r="A116" s="36"/>
      <c r="B116" s="36"/>
      <c r="C116" s="34"/>
      <c r="D116" s="2" t="s">
        <v>410</v>
      </c>
      <c r="E116" s="4">
        <v>1</v>
      </c>
      <c r="F116" s="30" t="s">
        <v>47</v>
      </c>
    </row>
    <row r="117" spans="1:6">
      <c r="A117" s="36" t="s">
        <v>436</v>
      </c>
      <c r="B117" s="36">
        <v>678</v>
      </c>
      <c r="C117" s="31" t="s">
        <v>437</v>
      </c>
      <c r="D117" s="2" t="s">
        <v>438</v>
      </c>
      <c r="E117" s="4">
        <v>16</v>
      </c>
      <c r="F117" s="30" t="s">
        <v>13</v>
      </c>
    </row>
    <row r="118" spans="1:6">
      <c r="A118" s="36"/>
      <c r="B118" s="36"/>
      <c r="C118" s="33"/>
      <c r="D118" s="2" t="s">
        <v>439</v>
      </c>
      <c r="E118" s="4">
        <v>1000</v>
      </c>
      <c r="F118" s="30" t="s">
        <v>32</v>
      </c>
    </row>
    <row r="119" spans="1:6">
      <c r="A119" s="36"/>
      <c r="B119" s="36"/>
      <c r="C119" s="33"/>
      <c r="D119" s="2" t="s">
        <v>393</v>
      </c>
      <c r="E119" s="4">
        <v>250</v>
      </c>
      <c r="F119" s="30" t="s">
        <v>9</v>
      </c>
    </row>
    <row r="120" spans="1:6">
      <c r="A120" s="36"/>
      <c r="B120" s="36"/>
      <c r="C120" s="34"/>
      <c r="D120" s="2" t="s">
        <v>440</v>
      </c>
      <c r="E120" s="4">
        <v>200</v>
      </c>
      <c r="F120" s="30" t="s">
        <v>9</v>
      </c>
    </row>
  </sheetData>
  <mergeCells count="42">
    <mergeCell ref="B2:B9"/>
    <mergeCell ref="A2:A9"/>
    <mergeCell ref="B10:B17"/>
    <mergeCell ref="A10:A17"/>
    <mergeCell ref="B18:B22"/>
    <mergeCell ref="A18:A22"/>
    <mergeCell ref="B23:B27"/>
    <mergeCell ref="A23:A27"/>
    <mergeCell ref="B28:B33"/>
    <mergeCell ref="A28:A33"/>
    <mergeCell ref="B34:B48"/>
    <mergeCell ref="A34:A48"/>
    <mergeCell ref="B49:B59"/>
    <mergeCell ref="A49:A59"/>
    <mergeCell ref="B60:B74"/>
    <mergeCell ref="A60:A74"/>
    <mergeCell ref="B75:B79"/>
    <mergeCell ref="A75:A79"/>
    <mergeCell ref="B107:B116"/>
    <mergeCell ref="A107:A116"/>
    <mergeCell ref="B117:B120"/>
    <mergeCell ref="A117:A120"/>
    <mergeCell ref="B80:B92"/>
    <mergeCell ref="A80:A92"/>
    <mergeCell ref="B93:B100"/>
    <mergeCell ref="A93:A100"/>
    <mergeCell ref="B101:B106"/>
    <mergeCell ref="A101:A106"/>
    <mergeCell ref="C2:C9"/>
    <mergeCell ref="C10:C17"/>
    <mergeCell ref="C18:C22"/>
    <mergeCell ref="C23:C27"/>
    <mergeCell ref="C28:C33"/>
    <mergeCell ref="C93:C100"/>
    <mergeCell ref="C101:C106"/>
    <mergeCell ref="C107:C116"/>
    <mergeCell ref="C117:C120"/>
    <mergeCell ref="C34:C48"/>
    <mergeCell ref="C49:C59"/>
    <mergeCell ref="C60:C74"/>
    <mergeCell ref="C75:C79"/>
    <mergeCell ref="C80:C9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6D736E3-E3E3-4517-ABB8-CA5874ED6989}">
          <x14:formula1>
            <xm:f>Otros!$B$3:$B$6</xm:f>
          </x14:formula1>
          <xm:sqref>F2:F120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4B1D0-6987-4E0C-9AC6-B0057F8D94C1}">
  <dimension ref="A1:F72"/>
  <sheetViews>
    <sheetView workbookViewId="0">
      <pane ySplit="1" topLeftCell="A50" activePane="bottomLeft" state="frozen"/>
      <selection pane="bottomLeft" activeCell="C73" sqref="C73"/>
      <selection activeCell="B2" sqref="B2:B28"/>
    </sheetView>
  </sheetViews>
  <sheetFormatPr defaultColWidth="11.5703125" defaultRowHeight="15" customHeight="1"/>
  <cols>
    <col min="1" max="1" width="37.85546875" style="7" bestFit="1" customWidth="1"/>
    <col min="2" max="3" width="10.28515625" style="7" customWidth="1"/>
    <col min="4" max="4" width="16.5703125" style="11" bestFit="1" customWidth="1"/>
    <col min="5" max="5" width="11.5703125" style="13"/>
    <col min="6" max="6" width="11.5703125" style="7"/>
    <col min="7" max="16384" width="11.5703125" style="9"/>
  </cols>
  <sheetData>
    <row r="1" spans="1:6">
      <c r="A1" s="30" t="str">
        <f>Sopas!A1</f>
        <v>Plato</v>
      </c>
      <c r="B1" s="30" t="s">
        <v>1</v>
      </c>
      <c r="C1" s="30" t="s">
        <v>2</v>
      </c>
      <c r="D1" s="30" t="str">
        <f>Sopas!D1</f>
        <v>Ingredientes</v>
      </c>
      <c r="E1" s="3" t="str">
        <f>Sopas!E1</f>
        <v>Cantidades</v>
      </c>
      <c r="F1" s="30" t="str">
        <f>Sopas!F1</f>
        <v>Unidades</v>
      </c>
    </row>
    <row r="2" spans="1:6">
      <c r="A2" s="36" t="s">
        <v>441</v>
      </c>
      <c r="B2" s="36">
        <v>20</v>
      </c>
      <c r="C2" s="31" t="s">
        <v>442</v>
      </c>
      <c r="D2" s="2" t="s">
        <v>443</v>
      </c>
      <c r="E2" s="4">
        <v>12</v>
      </c>
      <c r="F2" s="30" t="s">
        <v>13</v>
      </c>
    </row>
    <row r="3" spans="1:6">
      <c r="A3" s="36"/>
      <c r="B3" s="36"/>
      <c r="C3" s="33"/>
      <c r="D3" s="2" t="s">
        <v>444</v>
      </c>
      <c r="E3" s="4">
        <v>6</v>
      </c>
      <c r="F3" s="30" t="s">
        <v>13</v>
      </c>
    </row>
    <row r="4" spans="1:6">
      <c r="A4" s="36"/>
      <c r="B4" s="36"/>
      <c r="C4" s="33"/>
      <c r="D4" s="2" t="s">
        <v>14</v>
      </c>
      <c r="E4" s="4">
        <v>2</v>
      </c>
      <c r="F4" s="30" t="s">
        <v>47</v>
      </c>
    </row>
    <row r="5" spans="1:6">
      <c r="A5" s="36"/>
      <c r="B5" s="36"/>
      <c r="C5" s="33"/>
      <c r="D5" s="2" t="s">
        <v>285</v>
      </c>
      <c r="E5" s="4">
        <v>2</v>
      </c>
      <c r="F5" s="30" t="s">
        <v>13</v>
      </c>
    </row>
    <row r="6" spans="1:6">
      <c r="A6" s="36"/>
      <c r="B6" s="36"/>
      <c r="C6" s="33"/>
      <c r="D6" s="2" t="s">
        <v>16</v>
      </c>
      <c r="E6" s="4">
        <v>1</v>
      </c>
      <c r="F6" s="30" t="s">
        <v>13</v>
      </c>
    </row>
    <row r="7" spans="1:6">
      <c r="A7" s="36"/>
      <c r="B7" s="36"/>
      <c r="C7" s="33"/>
      <c r="D7" s="2" t="s">
        <v>15</v>
      </c>
      <c r="E7" s="4">
        <v>1</v>
      </c>
      <c r="F7" s="30" t="s">
        <v>13</v>
      </c>
    </row>
    <row r="8" spans="1:6">
      <c r="A8" s="36"/>
      <c r="B8" s="36"/>
      <c r="C8" s="33"/>
      <c r="D8" s="2" t="s">
        <v>61</v>
      </c>
      <c r="E8" s="4">
        <v>275</v>
      </c>
      <c r="F8" s="30" t="s">
        <v>9</v>
      </c>
    </row>
    <row r="9" spans="1:6">
      <c r="A9" s="36"/>
      <c r="B9" s="36"/>
      <c r="C9" s="33"/>
      <c r="D9" s="2" t="s">
        <v>69</v>
      </c>
      <c r="E9" s="4">
        <v>125</v>
      </c>
      <c r="F9" s="30" t="s">
        <v>32</v>
      </c>
    </row>
    <row r="10" spans="1:6">
      <c r="A10" s="36"/>
      <c r="B10" s="36"/>
      <c r="C10" s="33"/>
      <c r="D10" s="2" t="s">
        <v>239</v>
      </c>
      <c r="E10" s="4">
        <v>1</v>
      </c>
      <c r="F10" s="30" t="s">
        <v>13</v>
      </c>
    </row>
    <row r="11" spans="1:6">
      <c r="A11" s="36"/>
      <c r="B11" s="36"/>
      <c r="C11" s="33"/>
      <c r="D11" s="2" t="s">
        <v>445</v>
      </c>
      <c r="E11" s="4">
        <v>12</v>
      </c>
      <c r="F11" s="30" t="s">
        <v>9</v>
      </c>
    </row>
    <row r="12" spans="1:6">
      <c r="A12" s="36"/>
      <c r="B12" s="36"/>
      <c r="C12" s="33"/>
      <c r="D12" s="2" t="s">
        <v>16</v>
      </c>
      <c r="E12" s="4">
        <v>5</v>
      </c>
      <c r="F12" s="30" t="s">
        <v>9</v>
      </c>
    </row>
    <row r="13" spans="1:6">
      <c r="A13" s="36"/>
      <c r="B13" s="36"/>
      <c r="C13" s="33"/>
      <c r="D13" s="2" t="s">
        <v>374</v>
      </c>
      <c r="E13" s="4">
        <v>8</v>
      </c>
      <c r="F13" s="30" t="s">
        <v>9</v>
      </c>
    </row>
    <row r="14" spans="1:6">
      <c r="A14" s="36"/>
      <c r="B14" s="36"/>
      <c r="C14" s="33"/>
      <c r="D14" s="2" t="s">
        <v>75</v>
      </c>
      <c r="E14" s="4">
        <v>35</v>
      </c>
      <c r="F14" s="30" t="s">
        <v>9</v>
      </c>
    </row>
    <row r="15" spans="1:6">
      <c r="A15" s="36"/>
      <c r="B15" s="36"/>
      <c r="C15" s="34"/>
      <c r="D15" s="2" t="s">
        <v>14</v>
      </c>
      <c r="E15" s="4">
        <v>1</v>
      </c>
      <c r="F15" s="30" t="s">
        <v>13</v>
      </c>
    </row>
    <row r="16" spans="1:6">
      <c r="A16" s="36" t="s">
        <v>446</v>
      </c>
      <c r="B16" s="36">
        <v>26</v>
      </c>
      <c r="C16" s="31" t="s">
        <v>447</v>
      </c>
      <c r="D16" s="2" t="s">
        <v>61</v>
      </c>
      <c r="E16" s="4">
        <v>500</v>
      </c>
      <c r="F16" s="30" t="s">
        <v>9</v>
      </c>
    </row>
    <row r="17" spans="1:6">
      <c r="A17" s="36"/>
      <c r="B17" s="36"/>
      <c r="C17" s="33"/>
      <c r="D17" s="2" t="s">
        <v>424</v>
      </c>
      <c r="E17" s="4">
        <v>310</v>
      </c>
      <c r="F17" s="30" t="s">
        <v>32</v>
      </c>
    </row>
    <row r="18" spans="1:6">
      <c r="A18" s="36"/>
      <c r="B18" s="36"/>
      <c r="C18" s="33"/>
      <c r="D18" s="2" t="s">
        <v>16</v>
      </c>
      <c r="E18" s="4">
        <v>8</v>
      </c>
      <c r="F18" s="30" t="s">
        <v>9</v>
      </c>
    </row>
    <row r="19" spans="1:6">
      <c r="A19" s="36"/>
      <c r="B19" s="36"/>
      <c r="C19" s="33"/>
      <c r="D19" s="2" t="s">
        <v>374</v>
      </c>
      <c r="E19" s="4">
        <v>15</v>
      </c>
      <c r="F19" s="30" t="s">
        <v>9</v>
      </c>
    </row>
    <row r="20" spans="1:6">
      <c r="A20" s="36"/>
      <c r="B20" s="36"/>
      <c r="C20" s="33"/>
      <c r="D20" s="2" t="s">
        <v>448</v>
      </c>
      <c r="E20" s="4">
        <v>125</v>
      </c>
      <c r="F20" s="30" t="s">
        <v>9</v>
      </c>
    </row>
    <row r="21" spans="1:6">
      <c r="A21" s="36"/>
      <c r="B21" s="36"/>
      <c r="C21" s="33"/>
      <c r="D21" s="2" t="s">
        <v>379</v>
      </c>
      <c r="E21" s="4">
        <v>50</v>
      </c>
      <c r="F21" s="30" t="s">
        <v>9</v>
      </c>
    </row>
    <row r="22" spans="1:6">
      <c r="A22" s="36"/>
      <c r="B22" s="36"/>
      <c r="C22" s="33"/>
      <c r="D22" s="2" t="s">
        <v>75</v>
      </c>
      <c r="E22" s="4">
        <v>20</v>
      </c>
      <c r="F22" s="30" t="s">
        <v>9</v>
      </c>
    </row>
    <row r="23" spans="1:6">
      <c r="A23" s="36"/>
      <c r="B23" s="36"/>
      <c r="C23" s="34"/>
      <c r="D23" s="2" t="s">
        <v>449</v>
      </c>
      <c r="E23" s="4">
        <v>60</v>
      </c>
      <c r="F23" s="30" t="s">
        <v>9</v>
      </c>
    </row>
    <row r="24" spans="1:6">
      <c r="A24" s="36" t="s">
        <v>450</v>
      </c>
      <c r="B24" s="36">
        <v>40</v>
      </c>
      <c r="C24" s="31" t="s">
        <v>451</v>
      </c>
      <c r="D24" s="2" t="s">
        <v>452</v>
      </c>
      <c r="E24" s="4">
        <v>150</v>
      </c>
      <c r="F24" s="30" t="s">
        <v>9</v>
      </c>
    </row>
    <row r="25" spans="1:6">
      <c r="A25" s="36"/>
      <c r="B25" s="36"/>
      <c r="C25" s="33"/>
      <c r="D25" s="2" t="s">
        <v>207</v>
      </c>
      <c r="E25" s="4">
        <v>1</v>
      </c>
      <c r="F25" s="30" t="s">
        <v>13</v>
      </c>
    </row>
    <row r="26" spans="1:6">
      <c r="A26" s="36"/>
      <c r="B26" s="36"/>
      <c r="C26" s="33"/>
      <c r="D26" s="2" t="s">
        <v>453</v>
      </c>
      <c r="E26" s="4">
        <v>6</v>
      </c>
      <c r="F26" s="30" t="s">
        <v>13</v>
      </c>
    </row>
    <row r="27" spans="1:6">
      <c r="A27" s="36"/>
      <c r="B27" s="36"/>
      <c r="C27" s="33"/>
      <c r="D27" s="2" t="s">
        <v>35</v>
      </c>
      <c r="E27" s="4">
        <v>1</v>
      </c>
      <c r="F27" s="30" t="s">
        <v>13</v>
      </c>
    </row>
    <row r="28" spans="1:6">
      <c r="A28" s="36"/>
      <c r="B28" s="36"/>
      <c r="C28" s="33"/>
      <c r="D28" s="2" t="s">
        <v>34</v>
      </c>
      <c r="E28" s="4">
        <v>1</v>
      </c>
      <c r="F28" s="30" t="s">
        <v>13</v>
      </c>
    </row>
    <row r="29" spans="1:6">
      <c r="A29" s="36"/>
      <c r="B29" s="36"/>
      <c r="C29" s="33"/>
      <c r="D29" s="2" t="s">
        <v>454</v>
      </c>
      <c r="E29" s="4">
        <v>2</v>
      </c>
      <c r="F29" s="30" t="s">
        <v>47</v>
      </c>
    </row>
    <row r="30" spans="1:6">
      <c r="A30" s="36"/>
      <c r="B30" s="36"/>
      <c r="C30" s="33"/>
      <c r="D30" s="2" t="s">
        <v>14</v>
      </c>
      <c r="E30" s="4">
        <v>1</v>
      </c>
      <c r="F30" s="30" t="s">
        <v>13</v>
      </c>
    </row>
    <row r="31" spans="1:6">
      <c r="A31" s="36"/>
      <c r="B31" s="36"/>
      <c r="C31" s="33"/>
      <c r="D31" s="2" t="s">
        <v>15</v>
      </c>
      <c r="E31" s="4">
        <v>1</v>
      </c>
      <c r="F31" s="30" t="s">
        <v>13</v>
      </c>
    </row>
    <row r="32" spans="1:6">
      <c r="A32" s="36"/>
      <c r="B32" s="36"/>
      <c r="C32" s="33"/>
      <c r="D32" s="2" t="s">
        <v>93</v>
      </c>
      <c r="E32" s="4">
        <v>1</v>
      </c>
      <c r="F32" s="30" t="s">
        <v>47</v>
      </c>
    </row>
    <row r="33" spans="1:6">
      <c r="A33" s="36"/>
      <c r="B33" s="36"/>
      <c r="C33" s="33"/>
      <c r="D33" s="2" t="s">
        <v>51</v>
      </c>
      <c r="E33" s="4">
        <v>1</v>
      </c>
      <c r="F33" s="30" t="s">
        <v>13</v>
      </c>
    </row>
    <row r="34" spans="1:6">
      <c r="A34" s="36"/>
      <c r="B34" s="36"/>
      <c r="C34" s="33"/>
      <c r="D34" s="2" t="s">
        <v>16</v>
      </c>
      <c r="E34" s="4">
        <v>1</v>
      </c>
      <c r="F34" s="30" t="s">
        <v>13</v>
      </c>
    </row>
    <row r="35" spans="1:6">
      <c r="A35" s="36"/>
      <c r="B35" s="36"/>
      <c r="C35" s="33"/>
      <c r="D35" s="2" t="s">
        <v>61</v>
      </c>
      <c r="E35" s="4">
        <v>375</v>
      </c>
      <c r="F35" s="30" t="s">
        <v>9</v>
      </c>
    </row>
    <row r="36" spans="1:6">
      <c r="A36" s="36"/>
      <c r="B36" s="36"/>
      <c r="C36" s="33"/>
      <c r="D36" s="2" t="s">
        <v>455</v>
      </c>
      <c r="E36" s="4">
        <v>60</v>
      </c>
      <c r="F36" s="30" t="s">
        <v>9</v>
      </c>
    </row>
    <row r="37" spans="1:6">
      <c r="A37" s="36"/>
      <c r="B37" s="36"/>
      <c r="C37" s="33"/>
      <c r="D37" s="2" t="s">
        <v>14</v>
      </c>
      <c r="E37" s="4">
        <v>60</v>
      </c>
      <c r="F37" s="30" t="s">
        <v>32</v>
      </c>
    </row>
    <row r="38" spans="1:6">
      <c r="A38" s="36"/>
      <c r="B38" s="36"/>
      <c r="C38" s="33"/>
      <c r="D38" s="2" t="s">
        <v>424</v>
      </c>
      <c r="E38" s="4">
        <v>120</v>
      </c>
      <c r="F38" s="30" t="s">
        <v>32</v>
      </c>
    </row>
    <row r="39" spans="1:6">
      <c r="A39" s="36"/>
      <c r="B39" s="36"/>
      <c r="C39" s="34"/>
      <c r="D39" s="2" t="s">
        <v>374</v>
      </c>
      <c r="E39" s="4">
        <v>25</v>
      </c>
      <c r="F39" s="30" t="s">
        <v>9</v>
      </c>
    </row>
    <row r="40" spans="1:6">
      <c r="A40" s="36" t="s">
        <v>456</v>
      </c>
      <c r="B40" s="36">
        <v>52</v>
      </c>
      <c r="C40" s="31" t="s">
        <v>457</v>
      </c>
      <c r="D40" s="2" t="s">
        <v>458</v>
      </c>
      <c r="E40" s="4">
        <v>200</v>
      </c>
      <c r="F40" s="30" t="s">
        <v>9</v>
      </c>
    </row>
    <row r="41" spans="1:6">
      <c r="A41" s="36"/>
      <c r="B41" s="36"/>
      <c r="C41" s="33"/>
      <c r="D41" s="2" t="s">
        <v>12</v>
      </c>
      <c r="E41" s="4">
        <v>3</v>
      </c>
      <c r="F41" s="30" t="s">
        <v>13</v>
      </c>
    </row>
    <row r="42" spans="1:6">
      <c r="A42" s="36"/>
      <c r="B42" s="36"/>
      <c r="C42" s="33"/>
      <c r="D42" s="2" t="s">
        <v>207</v>
      </c>
      <c r="E42" s="4">
        <v>1</v>
      </c>
      <c r="F42" s="30" t="s">
        <v>13</v>
      </c>
    </row>
    <row r="43" spans="1:6">
      <c r="A43" s="36"/>
      <c r="B43" s="36"/>
      <c r="C43" s="33"/>
      <c r="D43" s="2" t="s">
        <v>34</v>
      </c>
      <c r="E43" s="4">
        <v>1</v>
      </c>
      <c r="F43" s="30" t="s">
        <v>13</v>
      </c>
    </row>
    <row r="44" spans="1:6">
      <c r="A44" s="36"/>
      <c r="B44" s="36"/>
      <c r="C44" s="33"/>
      <c r="D44" s="2" t="s">
        <v>44</v>
      </c>
      <c r="E44" s="4">
        <v>1</v>
      </c>
      <c r="F44" s="30" t="s">
        <v>13</v>
      </c>
    </row>
    <row r="45" spans="1:6">
      <c r="A45" s="36"/>
      <c r="B45" s="36"/>
      <c r="C45" s="33"/>
      <c r="D45" s="2" t="s">
        <v>100</v>
      </c>
      <c r="E45" s="4">
        <v>2</v>
      </c>
      <c r="F45" s="30" t="s">
        <v>13</v>
      </c>
    </row>
    <row r="46" spans="1:6">
      <c r="A46" s="36"/>
      <c r="B46" s="36"/>
      <c r="C46" s="33"/>
      <c r="D46" s="2" t="s">
        <v>14</v>
      </c>
      <c r="E46" s="4">
        <v>1</v>
      </c>
      <c r="F46" s="30" t="s">
        <v>13</v>
      </c>
    </row>
    <row r="47" spans="1:6">
      <c r="A47" s="36"/>
      <c r="B47" s="36"/>
      <c r="C47" s="33"/>
      <c r="D47" s="2" t="s">
        <v>15</v>
      </c>
      <c r="E47" s="4">
        <v>1</v>
      </c>
      <c r="F47" s="30" t="s">
        <v>13</v>
      </c>
    </row>
    <row r="48" spans="1:6">
      <c r="A48" s="36"/>
      <c r="B48" s="36"/>
      <c r="C48" s="33"/>
      <c r="D48" s="2" t="s">
        <v>51</v>
      </c>
      <c r="E48" s="4">
        <v>1</v>
      </c>
      <c r="F48" s="30" t="s">
        <v>13</v>
      </c>
    </row>
    <row r="49" spans="1:6">
      <c r="A49" s="36"/>
      <c r="B49" s="36"/>
      <c r="C49" s="33"/>
      <c r="D49" s="2" t="s">
        <v>16</v>
      </c>
      <c r="E49" s="4">
        <v>1</v>
      </c>
      <c r="F49" s="30" t="s">
        <v>13</v>
      </c>
    </row>
    <row r="50" spans="1:6">
      <c r="A50" s="36"/>
      <c r="B50" s="36"/>
      <c r="C50" s="33"/>
      <c r="D50" s="2" t="s">
        <v>459</v>
      </c>
      <c r="E50" s="4">
        <v>100</v>
      </c>
      <c r="F50" s="30" t="s">
        <v>9</v>
      </c>
    </row>
    <row r="51" spans="1:6">
      <c r="A51" s="36"/>
      <c r="B51" s="36"/>
      <c r="C51" s="33"/>
      <c r="D51" s="2" t="s">
        <v>61</v>
      </c>
      <c r="E51" s="4">
        <v>100</v>
      </c>
      <c r="F51" s="30" t="s">
        <v>9</v>
      </c>
    </row>
    <row r="52" spans="1:6">
      <c r="A52" s="36"/>
      <c r="B52" s="36"/>
      <c r="C52" s="33"/>
      <c r="D52" s="2" t="s">
        <v>424</v>
      </c>
      <c r="E52" s="4">
        <v>175</v>
      </c>
      <c r="F52" s="30" t="s">
        <v>32</v>
      </c>
    </row>
    <row r="53" spans="1:6">
      <c r="A53" s="36"/>
      <c r="B53" s="36"/>
      <c r="C53" s="33"/>
      <c r="D53" s="2" t="s">
        <v>14</v>
      </c>
      <c r="E53" s="4">
        <v>2</v>
      </c>
      <c r="F53" s="30" t="s">
        <v>47</v>
      </c>
    </row>
    <row r="54" spans="1:6">
      <c r="A54" s="36"/>
      <c r="B54" s="36"/>
      <c r="C54" s="34"/>
      <c r="D54" s="2" t="s">
        <v>16</v>
      </c>
      <c r="E54" s="4">
        <v>1</v>
      </c>
      <c r="F54" s="30" t="s">
        <v>13</v>
      </c>
    </row>
    <row r="55" spans="1:6">
      <c r="A55" s="36" t="s">
        <v>460</v>
      </c>
      <c r="B55" s="36">
        <v>53</v>
      </c>
      <c r="C55" s="31" t="s">
        <v>461</v>
      </c>
      <c r="D55" s="2" t="s">
        <v>73</v>
      </c>
      <c r="E55" s="4">
        <v>200</v>
      </c>
      <c r="F55" s="30" t="s">
        <v>9</v>
      </c>
    </row>
    <row r="56" spans="1:6">
      <c r="A56" s="36"/>
      <c r="B56" s="36"/>
      <c r="C56" s="33"/>
      <c r="D56" s="2" t="s">
        <v>135</v>
      </c>
      <c r="E56" s="4">
        <v>200</v>
      </c>
      <c r="F56" s="30" t="s">
        <v>9</v>
      </c>
    </row>
    <row r="57" spans="1:6">
      <c r="A57" s="36"/>
      <c r="B57" s="36"/>
      <c r="C57" s="33"/>
      <c r="D57" s="2" t="s">
        <v>207</v>
      </c>
      <c r="E57" s="4">
        <v>1</v>
      </c>
      <c r="F57" s="30" t="s">
        <v>13</v>
      </c>
    </row>
    <row r="58" spans="1:6">
      <c r="A58" s="36"/>
      <c r="B58" s="36"/>
      <c r="C58" s="33"/>
      <c r="D58" s="2" t="s">
        <v>34</v>
      </c>
      <c r="E58" s="4">
        <v>1</v>
      </c>
      <c r="F58" s="30" t="s">
        <v>13</v>
      </c>
    </row>
    <row r="59" spans="1:6">
      <c r="A59" s="36"/>
      <c r="B59" s="36"/>
      <c r="C59" s="33"/>
      <c r="D59" s="2" t="s">
        <v>74</v>
      </c>
      <c r="E59" s="4">
        <v>2</v>
      </c>
      <c r="F59" s="30" t="s">
        <v>13</v>
      </c>
    </row>
    <row r="60" spans="1:6">
      <c r="A60" s="36"/>
      <c r="B60" s="36"/>
      <c r="C60" s="33"/>
      <c r="D60" s="2" t="s">
        <v>79</v>
      </c>
      <c r="E60" s="4">
        <v>200</v>
      </c>
      <c r="F60" s="30" t="s">
        <v>32</v>
      </c>
    </row>
    <row r="61" spans="1:6">
      <c r="A61" s="36"/>
      <c r="B61" s="36"/>
      <c r="C61" s="33"/>
      <c r="D61" s="2" t="s">
        <v>14</v>
      </c>
      <c r="E61" s="4">
        <v>1</v>
      </c>
      <c r="F61" s="30" t="s">
        <v>13</v>
      </c>
    </row>
    <row r="62" spans="1:6">
      <c r="A62" s="36"/>
      <c r="B62" s="36"/>
      <c r="C62" s="33"/>
      <c r="D62" s="2" t="s">
        <v>15</v>
      </c>
      <c r="E62" s="4">
        <v>1</v>
      </c>
      <c r="F62" s="30" t="s">
        <v>13</v>
      </c>
    </row>
    <row r="63" spans="1:6">
      <c r="A63" s="36"/>
      <c r="B63" s="36"/>
      <c r="C63" s="33"/>
      <c r="D63" s="2" t="s">
        <v>16</v>
      </c>
      <c r="E63" s="4">
        <v>1</v>
      </c>
      <c r="F63" s="30" t="s">
        <v>13</v>
      </c>
    </row>
    <row r="64" spans="1:6">
      <c r="A64" s="36"/>
      <c r="B64" s="36"/>
      <c r="C64" s="33"/>
      <c r="D64" s="2" t="s">
        <v>61</v>
      </c>
      <c r="E64" s="4">
        <v>200</v>
      </c>
      <c r="F64" s="30" t="s">
        <v>9</v>
      </c>
    </row>
    <row r="65" spans="1:6">
      <c r="A65" s="36"/>
      <c r="B65" s="36"/>
      <c r="C65" s="33"/>
      <c r="D65" s="2" t="s">
        <v>75</v>
      </c>
      <c r="E65" s="4">
        <v>100</v>
      </c>
      <c r="F65" s="30" t="s">
        <v>9</v>
      </c>
    </row>
    <row r="66" spans="1:6">
      <c r="A66" s="36"/>
      <c r="B66" s="36"/>
      <c r="C66" s="33"/>
      <c r="D66" s="2" t="s">
        <v>74</v>
      </c>
      <c r="E66" s="4">
        <v>1</v>
      </c>
      <c r="F66" s="30" t="s">
        <v>13</v>
      </c>
    </row>
    <row r="67" spans="1:6">
      <c r="A67" s="36"/>
      <c r="B67" s="36"/>
      <c r="C67" s="34"/>
      <c r="D67" s="2" t="s">
        <v>16</v>
      </c>
      <c r="E67" s="4">
        <v>1</v>
      </c>
      <c r="F67" s="30" t="s">
        <v>47</v>
      </c>
    </row>
    <row r="68" spans="1:6">
      <c r="A68" s="36" t="s">
        <v>462</v>
      </c>
      <c r="B68" s="36">
        <v>56</v>
      </c>
      <c r="C68" s="31" t="s">
        <v>463</v>
      </c>
      <c r="D68" s="2" t="s">
        <v>464</v>
      </c>
      <c r="E68" s="4">
        <v>525</v>
      </c>
      <c r="F68" s="30" t="s">
        <v>9</v>
      </c>
    </row>
    <row r="69" spans="1:6">
      <c r="A69" s="36"/>
      <c r="B69" s="36"/>
      <c r="C69" s="33"/>
      <c r="D69" s="2" t="s">
        <v>448</v>
      </c>
      <c r="E69" s="4">
        <v>80</v>
      </c>
      <c r="F69" s="30" t="s">
        <v>9</v>
      </c>
    </row>
    <row r="70" spans="1:6">
      <c r="A70" s="36"/>
      <c r="B70" s="36"/>
      <c r="C70" s="33"/>
      <c r="D70" s="2" t="s">
        <v>374</v>
      </c>
      <c r="E70" s="4">
        <v>7.5</v>
      </c>
      <c r="F70" s="30" t="s">
        <v>9</v>
      </c>
    </row>
    <row r="71" spans="1:6">
      <c r="A71" s="36"/>
      <c r="B71" s="36"/>
      <c r="C71" s="33"/>
      <c r="D71" s="2" t="s">
        <v>424</v>
      </c>
      <c r="E71" s="4">
        <v>375</v>
      </c>
      <c r="F71" s="30" t="s">
        <v>32</v>
      </c>
    </row>
    <row r="72" spans="1:6">
      <c r="A72" s="36"/>
      <c r="B72" s="36"/>
      <c r="C72" s="34"/>
      <c r="D72" s="2" t="s">
        <v>16</v>
      </c>
      <c r="E72" s="4">
        <v>11</v>
      </c>
      <c r="F72" s="30" t="s">
        <v>9</v>
      </c>
    </row>
  </sheetData>
  <mergeCells count="18">
    <mergeCell ref="B2:B15"/>
    <mergeCell ref="A2:A15"/>
    <mergeCell ref="B16:B23"/>
    <mergeCell ref="A16:A23"/>
    <mergeCell ref="B24:B39"/>
    <mergeCell ref="A24:A39"/>
    <mergeCell ref="B40:B54"/>
    <mergeCell ref="A40:A54"/>
    <mergeCell ref="B55:B67"/>
    <mergeCell ref="A55:A67"/>
    <mergeCell ref="B68:B72"/>
    <mergeCell ref="A68:A72"/>
    <mergeCell ref="C68:C72"/>
    <mergeCell ref="C2:C15"/>
    <mergeCell ref="C16:C23"/>
    <mergeCell ref="C24:C39"/>
    <mergeCell ref="C40:C54"/>
    <mergeCell ref="C55:C67"/>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183D08D-ED2C-4D62-BE6B-BCFC88E4EB7B}">
          <x14:formula1>
            <xm:f>Otros!$B$3:$B$6</xm:f>
          </x14:formula1>
          <xm:sqref>F2:F1048576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FF78A-64DC-431E-AC22-CAF45F404803}">
  <dimension ref="A1:P226"/>
  <sheetViews>
    <sheetView workbookViewId="0">
      <selection activeCell="P8" sqref="P8"/>
    </sheetView>
  </sheetViews>
  <sheetFormatPr defaultColWidth="11.5703125" defaultRowHeight="14.45"/>
  <cols>
    <col min="1" max="4" width="11.5703125" style="9"/>
    <col min="5" max="5" width="20.7109375" style="9" bestFit="1" customWidth="1"/>
    <col min="6" max="6" width="19.28515625" style="9" bestFit="1" customWidth="1"/>
    <col min="7" max="7" width="14.42578125" style="9" bestFit="1" customWidth="1"/>
    <col min="8" max="8" width="17.28515625" style="9" bestFit="1" customWidth="1"/>
    <col min="9" max="9" width="16.7109375" style="9" bestFit="1" customWidth="1"/>
    <col min="10" max="10" width="20.7109375" style="9" bestFit="1" customWidth="1"/>
    <col min="11" max="11" width="22.7109375" style="9" bestFit="1" customWidth="1"/>
    <col min="12" max="12" width="22.140625" style="9" bestFit="1" customWidth="1"/>
    <col min="13" max="13" width="17.85546875" style="9" bestFit="1" customWidth="1"/>
    <col min="14" max="14" width="28.7109375" style="9" bestFit="1" customWidth="1"/>
    <col min="15" max="15" width="16.5703125" style="9" bestFit="1" customWidth="1"/>
    <col min="16" max="16" width="20.7109375" style="9" bestFit="1" customWidth="1"/>
    <col min="17" max="16384" width="11.5703125" style="9"/>
  </cols>
  <sheetData>
    <row r="1" spans="1:16" ht="15" thickBot="1">
      <c r="A1" s="23" t="s">
        <v>5</v>
      </c>
      <c r="B1" s="24"/>
    </row>
    <row r="2" spans="1:16">
      <c r="A2" s="14" t="s">
        <v>465</v>
      </c>
      <c r="B2" s="15" t="s">
        <v>466</v>
      </c>
    </row>
    <row r="3" spans="1:16">
      <c r="A3" s="16" t="s">
        <v>467</v>
      </c>
      <c r="B3" s="17" t="s">
        <v>9</v>
      </c>
    </row>
    <row r="4" spans="1:16">
      <c r="A4" s="16" t="s">
        <v>468</v>
      </c>
      <c r="B4" s="17" t="s">
        <v>32</v>
      </c>
    </row>
    <row r="5" spans="1:16" ht="15" thickBot="1">
      <c r="A5" s="16" t="s">
        <v>5</v>
      </c>
      <c r="B5" s="17" t="s">
        <v>13</v>
      </c>
    </row>
    <row r="6" spans="1:16" ht="15" thickBot="1">
      <c r="A6" s="18" t="s">
        <v>469</v>
      </c>
      <c r="B6" s="19" t="s">
        <v>47</v>
      </c>
      <c r="E6" s="39" t="s">
        <v>3</v>
      </c>
      <c r="F6" s="40"/>
      <c r="G6" s="40"/>
      <c r="H6" s="40"/>
      <c r="I6" s="40"/>
      <c r="J6" s="40"/>
      <c r="K6" s="40"/>
      <c r="L6" s="40"/>
      <c r="M6" s="40"/>
      <c r="N6" s="40"/>
      <c r="O6" s="40"/>
      <c r="P6" s="41"/>
    </row>
    <row r="7" spans="1:16">
      <c r="E7" s="26" t="s">
        <v>470</v>
      </c>
      <c r="F7" s="27" t="s">
        <v>471</v>
      </c>
      <c r="G7" s="27" t="s">
        <v>472</v>
      </c>
      <c r="H7" s="27" t="s">
        <v>473</v>
      </c>
      <c r="I7" s="27" t="s">
        <v>474</v>
      </c>
      <c r="J7" s="27" t="s">
        <v>475</v>
      </c>
      <c r="K7" s="27" t="s">
        <v>476</v>
      </c>
      <c r="L7" s="27" t="s">
        <v>477</v>
      </c>
      <c r="M7" s="27" t="s">
        <v>478</v>
      </c>
      <c r="N7" s="27" t="s">
        <v>479</v>
      </c>
      <c r="O7" s="28" t="s">
        <v>480</v>
      </c>
      <c r="P7" s="22" t="s">
        <v>481</v>
      </c>
    </row>
    <row r="8" spans="1:16">
      <c r="E8" s="1" t="str" cm="1">
        <f t="array" ref="E8:E35">_xlfn._xlws.SORT(_xlfn.UNIQUE(Sopas!$D$2:$D$500))</f>
        <v>Aceite de oliva</v>
      </c>
      <c r="F8" s="1" t="str" cm="1">
        <f t="array" ref="F8:F26">_xlfn._xlws.SORT(_xlfn.UNIQUE(Cremas!$D$2:$D$500))</f>
        <v>Aceite de oliva</v>
      </c>
      <c r="G8" s="1" t="str" cm="1">
        <f t="array" ref="G8:G34">_xlfn._xlws.SORT(_xlfn.UNIQUE(Verduras!$D$2:$D$500))</f>
        <v>Aceite de oliva</v>
      </c>
      <c r="H8" s="1" t="str" cm="1">
        <f t="array" ref="H8:H47">_xlfn._xlws.SORT(_xlfn.UNIQUE(Legumbres!$D$2:$D$500))</f>
        <v>Aceite de oliva</v>
      </c>
      <c r="I8" s="1" t="str" cm="1">
        <f t="array" ref="I8:I34">_xlfn._xlws.SORT(_xlfn.UNIQUE(Huevos!$D$2:$D$500))</f>
        <v>Aceite de oliva</v>
      </c>
      <c r="J8" s="1" t="str" cm="1">
        <f t="array" ref="J8:J62">_xlfn._xlws.SORT(_xlfn.UNIQUE(Arroces!$D$2:$D$500))</f>
        <v>Aceite de oliva</v>
      </c>
      <c r="K8" s="1" t="str" cm="1">
        <f t="array" ref="K8:K74">_xlfn._xlws.SORT(_xlfn.UNIQUE(Pastas!$D$2:$D$500))</f>
        <v>Aceite de oliva</v>
      </c>
      <c r="L8" s="1" t="str" cm="1">
        <f t="array" ref="L8:L91">_xlfn._xlws.SORT(_xlfn.UNIQUE(Carnes!$D$2:$D$500))</f>
        <v>Aceite de las abóndigas</v>
      </c>
      <c r="M8" s="1" t="str" cm="1">
        <f t="array" ref="M8:M87">_xlfn._xlws.SORT(_xlfn.UNIQUE(Pescados!$D$2:$D$500))</f>
        <v>Aceite de oliva</v>
      </c>
      <c r="N8" s="1" t="str" cm="1">
        <f t="array" ref="N8:N62">_xlfn._xlws.SORT(_xlfn.UNIQUE(Postres!$D$2:$D$500))</f>
        <v>Aceite de oliva</v>
      </c>
      <c r="O8" s="1" t="str" cm="1">
        <f t="array" ref="O8:O43">_xlfn._xlws.SORT(_xlfn.UNIQUE(Panes!$D$2:$D$500))</f>
        <v>Aceite de oliva</v>
      </c>
      <c r="P8" s="1"/>
    </row>
    <row r="9" spans="1:16">
      <c r="E9" s="1" t="str">
        <v>Cebolla</v>
      </c>
      <c r="F9" s="20" t="str">
        <v>Arroz</v>
      </c>
      <c r="G9" s="1" t="str">
        <v>Berenjena</v>
      </c>
      <c r="H9" s="1" t="str">
        <v>Alubias blancas</v>
      </c>
      <c r="I9" s="1" t="str">
        <v>Caldo de ave</v>
      </c>
      <c r="J9" s="1" t="str">
        <v>Aceitunas negras</v>
      </c>
      <c r="K9" s="1" t="str">
        <v>Aceitunas negras</v>
      </c>
      <c r="L9" s="1" t="str">
        <v>Aceite de oliva</v>
      </c>
      <c r="M9" s="1" t="str">
        <v>Agua con gas</v>
      </c>
      <c r="N9" s="1" t="str">
        <v>Agua</v>
      </c>
      <c r="O9" s="25" t="str">
        <v>Aceitunas</v>
      </c>
      <c r="P9" s="1"/>
    </row>
    <row r="10" spans="1:16">
      <c r="E10" s="1" t="str">
        <v>Cilantro</v>
      </c>
      <c r="F10" s="20" t="str">
        <v>Calabacín</v>
      </c>
      <c r="G10" s="1" t="str">
        <v>Calabacín</v>
      </c>
      <c r="H10" s="1" t="str">
        <v>Alubias negras</v>
      </c>
      <c r="I10" s="1" t="str">
        <v>Carne picada</v>
      </c>
      <c r="J10" s="1" t="str">
        <v>Agua caliente</v>
      </c>
      <c r="K10" s="1" t="str">
        <v>Ajos frescos</v>
      </c>
      <c r="L10" s="1" t="str">
        <v>Ajo en polvo</v>
      </c>
      <c r="M10" s="1" t="str">
        <v>Alachofa</v>
      </c>
      <c r="N10" s="1" t="str">
        <v>Arándanos</v>
      </c>
      <c r="O10" s="25" t="str">
        <v>Agua</v>
      </c>
      <c r="P10" s="1"/>
    </row>
    <row r="11" spans="1:16">
      <c r="E11" s="1" t="str">
        <v>Diente de ajo</v>
      </c>
      <c r="F11" s="20" t="str">
        <v>Caldo de verduras</v>
      </c>
      <c r="G11" s="1" t="str">
        <v>Cebolla</v>
      </c>
      <c r="H11" s="1" t="str">
        <v>Arroz integral</v>
      </c>
      <c r="I11" s="1" t="str">
        <v>Cebolla</v>
      </c>
      <c r="J11" s="1" t="str">
        <v>Ajos frescos</v>
      </c>
      <c r="K11" s="1" t="str">
        <v>Albahaca</v>
      </c>
      <c r="L11" s="1" t="str">
        <v>Aleta de ternera</v>
      </c>
      <c r="M11" s="1" t="str">
        <v>Atún</v>
      </c>
      <c r="N11" s="1" t="str">
        <v>Azúcar</v>
      </c>
      <c r="O11" s="25" t="str">
        <v>Alcaparras</v>
      </c>
      <c r="P11" s="1"/>
    </row>
    <row r="12" spans="1:16">
      <c r="E12" s="1" t="str">
        <v>Fideos udon</v>
      </c>
      <c r="F12" s="20" t="str">
        <v>Cebolla</v>
      </c>
      <c r="G12" s="1" t="str">
        <v>Diente de ajo</v>
      </c>
      <c r="H12" s="1" t="str">
        <v>Butifarra blanca</v>
      </c>
      <c r="I12" s="1" t="str">
        <v>Diente de ajo</v>
      </c>
      <c r="J12" s="1" t="str">
        <v>Arroz</v>
      </c>
      <c r="K12" s="1" t="str">
        <v>Apio</v>
      </c>
      <c r="L12" s="1" t="str">
        <v>Almendra</v>
      </c>
      <c r="M12" s="1" t="str">
        <v>Azúcar moreno</v>
      </c>
      <c r="N12" s="1" t="str">
        <v>Azúcar glas</v>
      </c>
      <c r="O12" s="25" t="str">
        <v>Cacao en polvo</v>
      </c>
      <c r="P12" s="1"/>
    </row>
    <row r="13" spans="1:16">
      <c r="E13" s="1" t="str">
        <v>Garbanzos</v>
      </c>
      <c r="F13" s="20" t="str">
        <v>Comino</v>
      </c>
      <c r="G13" s="1" t="str">
        <v>Harina</v>
      </c>
      <c r="H13" s="1" t="str">
        <v>Calabaza</v>
      </c>
      <c r="I13" s="1" t="str">
        <v>Guisantes</v>
      </c>
      <c r="J13" s="1" t="str">
        <v>Arroz basmati</v>
      </c>
      <c r="K13" s="1" t="str">
        <v>Calabacín</v>
      </c>
      <c r="L13" s="1" t="str">
        <v>Arroz</v>
      </c>
      <c r="M13" s="1" t="str">
        <v>Bacalao</v>
      </c>
      <c r="N13" s="1" t="str">
        <v>Bicarbonato</v>
      </c>
      <c r="O13" s="25" t="str">
        <v>Calabacín</v>
      </c>
      <c r="P13" s="1"/>
    </row>
    <row r="14" spans="1:16">
      <c r="E14" s="1" t="str">
        <v>Guindilla</v>
      </c>
      <c r="F14" s="20" t="str">
        <v>Huevas de trucha</v>
      </c>
      <c r="G14" s="1" t="str">
        <v>Huevo</v>
      </c>
      <c r="H14" s="1" t="str">
        <v>Cebolla</v>
      </c>
      <c r="I14" s="1" t="str">
        <v>Harina</v>
      </c>
      <c r="J14" s="1" t="str">
        <v>Azafrán</v>
      </c>
      <c r="K14" s="1" t="str">
        <v>Caldo de pescado</v>
      </c>
      <c r="L14" s="1" t="str">
        <v>Arroz largo</v>
      </c>
      <c r="M14" s="1" t="str">
        <v>Bonito</v>
      </c>
      <c r="N14" s="1" t="str">
        <v>Cacao en polvo</v>
      </c>
      <c r="O14" s="25" t="str">
        <v>Cebolleta</v>
      </c>
      <c r="P14" s="1"/>
    </row>
    <row r="15" spans="1:16">
      <c r="E15" s="1" t="str">
        <v>Hueso de cañada</v>
      </c>
      <c r="F15" s="20" t="str">
        <v>Jamón</v>
      </c>
      <c r="G15" s="1" t="str">
        <v>Jamón cocido</v>
      </c>
      <c r="H15" s="1" t="str">
        <v>Cebolla dulce</v>
      </c>
      <c r="I15" s="1" t="str">
        <v>Huevo</v>
      </c>
      <c r="J15" s="1" t="str">
        <v>Brandy</v>
      </c>
      <c r="K15" s="1" t="str">
        <v>Canela</v>
      </c>
      <c r="L15" s="1" t="str">
        <v>Azafrán</v>
      </c>
      <c r="M15" s="1" t="str">
        <v>Borraja</v>
      </c>
      <c r="N15" s="1" t="str">
        <v>Canela</v>
      </c>
      <c r="O15" s="25" t="str">
        <v>Copos de avena</v>
      </c>
      <c r="P15" s="1"/>
    </row>
    <row r="16" spans="1:16">
      <c r="E16" s="1" t="str">
        <v>Miga de pan</v>
      </c>
      <c r="F16" s="20" t="str">
        <v>Láminas de pasta brick</v>
      </c>
      <c r="G16" s="1" t="str">
        <v>Leche</v>
      </c>
      <c r="H16" s="1" t="str">
        <v>Chícharos</v>
      </c>
      <c r="I16" s="1" t="str">
        <v>Huevos de codorniz</v>
      </c>
      <c r="J16" s="1" t="str">
        <v>Cabeza de ajos</v>
      </c>
      <c r="K16" s="1" t="str">
        <v>Canelón</v>
      </c>
      <c r="L16" s="1" t="str">
        <v>Azúcar</v>
      </c>
      <c r="M16" s="1" t="str">
        <v>Calabaza</v>
      </c>
      <c r="N16" s="1" t="str">
        <v>Cerezas</v>
      </c>
      <c r="O16" s="25" t="str">
        <v>Diente de ajo</v>
      </c>
      <c r="P16" s="1"/>
    </row>
    <row r="17" spans="5:16">
      <c r="E17" s="1" t="str">
        <v>Muslo de pollo</v>
      </c>
      <c r="F17" s="20" t="str">
        <v>Leche evaporada</v>
      </c>
      <c r="G17" s="1" t="str">
        <v>Mantequilla</v>
      </c>
      <c r="H17" s="1" t="str">
        <v>Chorizo</v>
      </c>
      <c r="I17" s="1" t="str">
        <v>Jamón</v>
      </c>
      <c r="J17" s="1" t="str">
        <v>Calabacín</v>
      </c>
      <c r="K17" s="1" t="str">
        <v>Carne picada</v>
      </c>
      <c r="L17" s="1" t="str">
        <v>Azúcar moreno</v>
      </c>
      <c r="M17" s="1" t="str">
        <v>Calamar</v>
      </c>
      <c r="N17" s="1" t="str">
        <v>Chocolate blanco de cobertura</v>
      </c>
      <c r="O17" s="25" t="str">
        <v>Gotas de chocolate</v>
      </c>
      <c r="P17" s="1"/>
    </row>
    <row r="18" spans="5:16">
      <c r="E18" s="1" t="str">
        <v>Nuez moscada</v>
      </c>
      <c r="F18" s="20" t="str">
        <v>Manzana</v>
      </c>
      <c r="G18" s="1" t="str">
        <v>Nata</v>
      </c>
      <c r="H18" s="1" t="str">
        <v>Cilantro</v>
      </c>
      <c r="I18" s="1" t="str">
        <v>Jengibre</v>
      </c>
      <c r="J18" s="1" t="str">
        <v>Caldo de carne</v>
      </c>
      <c r="K18" s="1" t="str">
        <v>Cayena</v>
      </c>
      <c r="L18" s="1" t="str">
        <v>Berenjena</v>
      </c>
      <c r="M18" s="1" t="str">
        <v>Caldo de pescado</v>
      </c>
      <c r="N18" s="1" t="str">
        <v>Chocolate de cobertura</v>
      </c>
      <c r="O18" s="25" t="str">
        <v>Harina</v>
      </c>
      <c r="P18" s="1"/>
    </row>
    <row r="19" spans="5:16">
      <c r="E19" s="1" t="str">
        <v>Pastilla de caldo de pollo</v>
      </c>
      <c r="F19" s="20" t="str">
        <v>Perejil</v>
      </c>
      <c r="G19" s="1" t="str">
        <v>Orégano</v>
      </c>
      <c r="H19" s="1" t="str">
        <v>Codillo de cerdo</v>
      </c>
      <c r="I19" s="1" t="str">
        <v>Kétchup</v>
      </c>
      <c r="J19" s="1" t="str">
        <v>Caldo de pollo</v>
      </c>
      <c r="K19" s="1" t="str">
        <v>Cebolla</v>
      </c>
      <c r="L19" s="1" t="str">
        <v>Boletus</v>
      </c>
      <c r="M19" s="1" t="str">
        <v>Canónigos</v>
      </c>
      <c r="N19" s="1" t="str">
        <v>Chocolate negro de cobertura</v>
      </c>
      <c r="O19" s="25" t="str">
        <v>Harina integral</v>
      </c>
      <c r="P19" s="1"/>
    </row>
    <row r="20" spans="5:16">
      <c r="E20" s="1" t="str">
        <v>Pechuga de pollo</v>
      </c>
      <c r="F20" s="20" t="str">
        <v>Pimienta</v>
      </c>
      <c r="G20" s="1" t="str">
        <v>Pan rallado</v>
      </c>
      <c r="H20" s="1" t="str">
        <v>Comino</v>
      </c>
      <c r="I20" s="1" t="str">
        <v>Lonchas panceta</v>
      </c>
      <c r="J20" s="1" t="str">
        <v>Caldo de verduras</v>
      </c>
      <c r="K20" s="1" t="str">
        <v>Cebolleta</v>
      </c>
      <c r="L20" s="1" t="str">
        <v>Caldo de carne</v>
      </c>
      <c r="M20" s="1" t="str">
        <v>Cayena</v>
      </c>
      <c r="N20" s="1" t="str">
        <v>Corteza de limón</v>
      </c>
      <c r="O20" s="25" t="str">
        <v>Huevo</v>
      </c>
      <c r="P20" s="1"/>
    </row>
    <row r="21" spans="5:16">
      <c r="E21" s="1" t="str">
        <v>Perejil</v>
      </c>
      <c r="F21" s="20" t="str">
        <v>Pimiento verde</v>
      </c>
      <c r="G21" s="1" t="str">
        <v>Panceta</v>
      </c>
      <c r="H21" s="1" t="str">
        <v>Cúrcuma</v>
      </c>
      <c r="I21" s="1" t="str">
        <v>Manzana</v>
      </c>
      <c r="J21" s="1" t="str">
        <v>Cebolla</v>
      </c>
      <c r="K21" s="1" t="str">
        <v>Champiñón</v>
      </c>
      <c r="L21" s="1" t="str">
        <v>Carne de cordero picada</v>
      </c>
      <c r="M21" s="1" t="str">
        <v>Cayena en polvo</v>
      </c>
      <c r="N21" s="1" t="str">
        <v>Corteza de naranja</v>
      </c>
      <c r="O21" s="25" t="str">
        <v>Lata atún</v>
      </c>
      <c r="P21" s="1"/>
    </row>
    <row r="22" spans="5:16">
      <c r="E22" s="1" t="str">
        <v>Picatostes</v>
      </c>
      <c r="F22" s="20" t="str">
        <v>Sal</v>
      </c>
      <c r="G22" s="1" t="str">
        <v>Patata</v>
      </c>
      <c r="H22" s="1" t="str">
        <v>Diente de ajo</v>
      </c>
      <c r="I22" s="1" t="str">
        <v>Mezcla rebozar</v>
      </c>
      <c r="J22" s="1" t="str">
        <v>Champiñones</v>
      </c>
      <c r="K22" s="1" t="str">
        <v>Cintas de pasta</v>
      </c>
      <c r="L22" s="1" t="str">
        <v>Carne picada mixto</v>
      </c>
      <c r="M22" s="1" t="str">
        <v>Cebolla</v>
      </c>
      <c r="N22" s="1" t="str">
        <v>Crocanti de almendra</v>
      </c>
      <c r="O22" s="25" t="str">
        <v>Leche</v>
      </c>
      <c r="P22" s="1"/>
    </row>
    <row r="23" spans="5:16">
      <c r="E23" s="1" t="str">
        <v>Pimienta negra</v>
      </c>
      <c r="F23" s="20" t="str">
        <v>Tomate pera</v>
      </c>
      <c r="G23" s="1" t="str">
        <v>Pechuga de pavo</v>
      </c>
      <c r="H23" s="1" t="str">
        <v>Fideos</v>
      </c>
      <c r="I23" s="1" t="str">
        <v>Mostaza</v>
      </c>
      <c r="J23" s="1" t="str">
        <v>Chorizo</v>
      </c>
      <c r="K23" s="1" t="str">
        <v>Costilla de cerdo</v>
      </c>
      <c r="L23" s="1" t="str">
        <v>Carrilleras de ternera</v>
      </c>
      <c r="M23" s="1" t="str">
        <v>Cebolla en polvo</v>
      </c>
      <c r="N23" s="1" t="str">
        <v>Esencia de vainilla</v>
      </c>
      <c r="O23" s="25" t="str">
        <v>Levadura</v>
      </c>
      <c r="P23" s="1"/>
    </row>
    <row r="24" spans="5:16">
      <c r="E24" s="1" t="str">
        <v>Pimiento rojo</v>
      </c>
      <c r="F24" s="20" t="str">
        <v>Vinagre</v>
      </c>
      <c r="G24" s="1" t="str">
        <v>Perejil</v>
      </c>
      <c r="H24" s="1" t="str">
        <v>Garbanzos</v>
      </c>
      <c r="I24" s="1" t="str">
        <v>Pan rallado</v>
      </c>
      <c r="J24" s="1" t="str">
        <v>Costilla de cerdo</v>
      </c>
      <c r="K24" s="1" t="str">
        <v>Diente de ajo</v>
      </c>
      <c r="L24" s="1" t="str">
        <v>Cayena</v>
      </c>
      <c r="M24" s="1" t="str">
        <v>Cebolla roja</v>
      </c>
      <c r="N24" s="1" t="str">
        <v>Frambuesas</v>
      </c>
      <c r="O24" s="25" t="str">
        <v>Lomo de cerdo</v>
      </c>
      <c r="P24" s="1"/>
    </row>
    <row r="25" spans="5:16">
      <c r="E25" s="1" t="str">
        <v>Pimiento verde</v>
      </c>
      <c r="F25" s="20" t="str">
        <v>Zanahoria</v>
      </c>
      <c r="G25" s="1" t="str">
        <v>Pimienta</v>
      </c>
      <c r="H25" s="1" t="str">
        <v>Harina de garbanzo</v>
      </c>
      <c r="I25" s="1" t="str">
        <v>Perejil</v>
      </c>
      <c r="J25" s="1" t="str">
        <v>Curry</v>
      </c>
      <c r="K25" s="1" t="str">
        <v>Espárragos verdes</v>
      </c>
      <c r="L25" s="1" t="str">
        <v>Cebolla</v>
      </c>
      <c r="M25" s="1" t="str">
        <v>Cebolleta</v>
      </c>
      <c r="N25" s="1" t="str">
        <v>Fresas</v>
      </c>
      <c r="O25" s="25" t="str">
        <v>Manteca de cerdo</v>
      </c>
      <c r="P25" s="1"/>
    </row>
    <row r="26" spans="5:16">
      <c r="E26" s="1" t="str">
        <v>Puerro</v>
      </c>
      <c r="F26" s="20">
        <v>0</v>
      </c>
      <c r="G26" s="1" t="str">
        <v>Pimiento verde</v>
      </c>
      <c r="H26" s="1" t="str">
        <v>Hueso de jamón</v>
      </c>
      <c r="I26" s="1" t="str">
        <v>Pimentón</v>
      </c>
      <c r="J26" s="1" t="str">
        <v>Diente de ajo</v>
      </c>
      <c r="K26" s="1" t="str">
        <v>Espirales</v>
      </c>
      <c r="L26" s="1" t="str">
        <v>Cebolla en polvo</v>
      </c>
      <c r="M26" s="1" t="str">
        <v>Cebollino</v>
      </c>
      <c r="N26" s="1" t="str">
        <v>Galletas</v>
      </c>
      <c r="O26" s="25" t="str">
        <v>Mantequilla</v>
      </c>
      <c r="P26" s="1"/>
    </row>
    <row r="27" spans="5:16">
      <c r="E27" s="1" t="str">
        <v>Rama de apio</v>
      </c>
      <c r="F27" s="20"/>
      <c r="G27" s="1" t="str">
        <v>Puerro</v>
      </c>
      <c r="H27" s="1" t="str">
        <v>Jamón</v>
      </c>
      <c r="I27" s="1" t="str">
        <v>Pimienta</v>
      </c>
      <c r="J27" s="1" t="str">
        <v>Espinacas</v>
      </c>
      <c r="K27" s="1" t="str">
        <v>Fettuccini</v>
      </c>
      <c r="L27" s="1" t="str">
        <v>Cebolleta</v>
      </c>
      <c r="M27" s="1" t="str">
        <v>Chalota</v>
      </c>
      <c r="N27" s="1" t="str">
        <v>Galletas rectangulares</v>
      </c>
      <c r="O27" s="25" t="str">
        <v>Masa madre</v>
      </c>
      <c r="P27" s="1"/>
    </row>
    <row r="28" spans="5:16">
      <c r="E28" s="1" t="str">
        <v>Sal</v>
      </c>
      <c r="F28" s="20"/>
      <c r="G28" s="1" t="str">
        <v>Queso azul</v>
      </c>
      <c r="H28" s="1" t="str">
        <v>Laurel</v>
      </c>
      <c r="I28" s="1" t="str">
        <v>Pimiento verde</v>
      </c>
      <c r="J28" s="1" t="str">
        <v>Gamba</v>
      </c>
      <c r="K28" s="1" t="str">
        <v>Fiedos</v>
      </c>
      <c r="L28" s="1" t="str">
        <v>Champiñón</v>
      </c>
      <c r="M28" s="1" t="str">
        <v>Cuscús precocido</v>
      </c>
      <c r="N28" s="1" t="str">
        <v>Gotas de cuajo líquido de farmacia</v>
      </c>
      <c r="O28" s="25" t="str">
        <v>Miel</v>
      </c>
      <c r="P28" s="1"/>
    </row>
    <row r="29" spans="5:16">
      <c r="E29" s="1" t="str">
        <v>Salsa de soja</v>
      </c>
      <c r="F29" s="20"/>
      <c r="G29" s="1" t="str">
        <v>Queso rallado</v>
      </c>
      <c r="H29" s="1" t="str">
        <v>Lentejas</v>
      </c>
      <c r="I29" s="1" t="str">
        <v>Queso</v>
      </c>
      <c r="J29" s="1" t="str">
        <v>Gamba cocida</v>
      </c>
      <c r="K29" s="1" t="str">
        <v>Filetes de anchoas</v>
      </c>
      <c r="L29" s="1" t="str">
        <v>Coles de bruselas</v>
      </c>
      <c r="M29" s="1" t="str">
        <v>Diente de ajo</v>
      </c>
      <c r="N29" s="1" t="str">
        <v>Harina</v>
      </c>
      <c r="O29" s="25" t="str">
        <v>Nata</v>
      </c>
      <c r="P29" s="1"/>
    </row>
    <row r="30" spans="5:16">
      <c r="E30" s="1" t="str">
        <v>Tapioca</v>
      </c>
      <c r="F30" s="20"/>
      <c r="G30" s="1" t="str">
        <v>Sal</v>
      </c>
      <c r="H30" s="1" t="str">
        <v>Limón</v>
      </c>
      <c r="I30" s="1" t="str">
        <v>Queso gratinar</v>
      </c>
      <c r="J30" s="1" t="str">
        <v>Garbanzos</v>
      </c>
      <c r="K30" s="1" t="str">
        <v>Guisantes</v>
      </c>
      <c r="L30" s="1" t="str">
        <v>Comino</v>
      </c>
      <c r="M30" s="1" t="str">
        <v>Eneldo</v>
      </c>
      <c r="N30" s="1" t="str">
        <v>Harina de maíz</v>
      </c>
      <c r="O30" s="25" t="str">
        <v>Panceta</v>
      </c>
      <c r="P30" s="1"/>
    </row>
    <row r="31" spans="5:16">
      <c r="E31" s="1" t="str">
        <v>Tomate pera</v>
      </c>
      <c r="F31" s="20"/>
      <c r="G31" s="1" t="str">
        <v>Tomate frito</v>
      </c>
      <c r="H31" s="1" t="str">
        <v>Morcilla de verduras</v>
      </c>
      <c r="I31" s="1" t="str">
        <v>Rebanada de pan</v>
      </c>
      <c r="J31" s="1" t="str">
        <v>Guisantes</v>
      </c>
      <c r="K31" s="1" t="str">
        <v>Harina</v>
      </c>
      <c r="L31" s="1" t="str">
        <v>Costilla de cerdo</v>
      </c>
      <c r="M31" s="1" t="str">
        <v>Espárragos verdes</v>
      </c>
      <c r="N31" s="1" t="str">
        <v>Helado</v>
      </c>
      <c r="O31" s="25" t="str">
        <v>Perejil</v>
      </c>
      <c r="P31" s="1"/>
    </row>
    <row r="32" spans="5:16">
      <c r="E32" s="1" t="str">
        <v>Vinagre blanco</v>
      </c>
      <c r="F32" s="20"/>
      <c r="G32" s="1" t="str">
        <v>Vino blanco</v>
      </c>
      <c r="H32" s="1" t="str">
        <v>Panceta</v>
      </c>
      <c r="I32" s="1" t="str">
        <v>Sal</v>
      </c>
      <c r="J32" s="1" t="str">
        <v>Huevo</v>
      </c>
      <c r="K32" s="1" t="str">
        <v>Huevo</v>
      </c>
      <c r="L32" s="1" t="str">
        <v>Curry</v>
      </c>
      <c r="M32" s="1" t="str">
        <v>Estragón</v>
      </c>
      <c r="N32" s="1" t="str">
        <v>Helado de vainilla</v>
      </c>
      <c r="O32" s="25" t="str">
        <v>Pimentón</v>
      </c>
      <c r="P32" s="1"/>
    </row>
    <row r="33" spans="5:16">
      <c r="E33" s="1" t="str">
        <v>Zanahoria</v>
      </c>
      <c r="F33" s="20"/>
      <c r="G33" s="1" t="str">
        <v>Zanahoria</v>
      </c>
      <c r="H33" s="1" t="str">
        <v>Patata</v>
      </c>
      <c r="I33" s="1" t="str">
        <v>Vinagre</v>
      </c>
      <c r="J33" s="1" t="str">
        <v>Jamón</v>
      </c>
      <c r="K33" s="1" t="str">
        <v>Jamón serrano</v>
      </c>
      <c r="L33" s="1" t="str">
        <v>Diente de ajo</v>
      </c>
      <c r="M33" s="1" t="str">
        <v>Guindillas</v>
      </c>
      <c r="N33" s="1" t="str">
        <v>Huevo</v>
      </c>
      <c r="O33" s="25" t="str">
        <v>Pimienta</v>
      </c>
      <c r="P33" s="1"/>
    </row>
    <row r="34" spans="5:16">
      <c r="E34" s="1" t="str">
        <v>Zancarrón</v>
      </c>
      <c r="F34" s="20"/>
      <c r="G34" s="1">
        <v>0</v>
      </c>
      <c r="H34" s="1" t="str">
        <v>Perejil</v>
      </c>
      <c r="I34" s="1">
        <v>0</v>
      </c>
      <c r="J34" s="1" t="str">
        <v>Jamón cocido</v>
      </c>
      <c r="K34" s="1" t="str">
        <v>Láminas de lasaña</v>
      </c>
      <c r="L34" s="1" t="str">
        <v>Escarola</v>
      </c>
      <c r="M34" s="1" t="str">
        <v>Gulas</v>
      </c>
      <c r="N34" s="1" t="str">
        <v>Lámina hojaldre</v>
      </c>
      <c r="O34" s="25" t="str">
        <v>Pimiento rojo</v>
      </c>
      <c r="P34" s="1"/>
    </row>
    <row r="35" spans="5:16">
      <c r="E35" s="1">
        <v>0</v>
      </c>
      <c r="F35" s="20"/>
      <c r="G35" s="1"/>
      <c r="H35" s="1" t="str">
        <v>Pimentón</v>
      </c>
      <c r="I35" s="1"/>
      <c r="J35" s="1" t="str">
        <v>Leche</v>
      </c>
      <c r="K35" s="1" t="str">
        <v>Láminas para canelones</v>
      </c>
      <c r="L35" s="1" t="str">
        <v>Harina</v>
      </c>
      <c r="M35" s="1" t="str">
        <v>Harina</v>
      </c>
      <c r="N35" s="1" t="str">
        <v>Leche</v>
      </c>
      <c r="O35" s="25" t="str">
        <v>Pimiento verde</v>
      </c>
      <c r="P35" s="1"/>
    </row>
    <row r="36" spans="5:16">
      <c r="E36" s="1"/>
      <c r="F36" s="20"/>
      <c r="G36" s="1"/>
      <c r="H36" s="1" t="str">
        <v>Pimienta</v>
      </c>
      <c r="I36" s="1"/>
      <c r="J36" s="1" t="str">
        <v>Lechuga</v>
      </c>
      <c r="K36" s="1" t="str">
        <v>Leche</v>
      </c>
      <c r="L36" s="1" t="str">
        <v>Harina de maíz</v>
      </c>
      <c r="M36" s="1" t="str">
        <v>Harina de maíz</v>
      </c>
      <c r="N36" s="1" t="str">
        <v>Leche condensada</v>
      </c>
      <c r="O36" s="25" t="str">
        <v>Queso</v>
      </c>
      <c r="P36" s="1"/>
    </row>
    <row r="37" spans="5:16">
      <c r="E37" s="1"/>
      <c r="F37" s="20"/>
      <c r="G37" s="1"/>
      <c r="H37" s="1" t="str">
        <v>Pimienta negra</v>
      </c>
      <c r="I37" s="1"/>
      <c r="J37" s="1" t="str">
        <v>Lomo adobado</v>
      </c>
      <c r="K37" s="1" t="str">
        <v>Macarrones</v>
      </c>
      <c r="L37" s="1" t="str">
        <v>Hoja de col</v>
      </c>
      <c r="M37" s="1" t="str">
        <v>Harina de tempura</v>
      </c>
      <c r="N37" s="1" t="str">
        <v>Leche de oveja</v>
      </c>
      <c r="O37" s="25" t="str">
        <v>Romero</v>
      </c>
      <c r="P37" s="1"/>
    </row>
    <row r="38" spans="5:16">
      <c r="E38" s="1"/>
      <c r="F38" s="20"/>
      <c r="G38" s="1"/>
      <c r="H38" s="1" t="str">
        <v>Pimiento verde</v>
      </c>
      <c r="I38" s="1"/>
      <c r="J38" s="1" t="str">
        <v>Maíz</v>
      </c>
      <c r="K38" s="1" t="str">
        <v>Mantequilla</v>
      </c>
      <c r="L38" s="1" t="str">
        <v>Huevo</v>
      </c>
      <c r="M38" s="1" t="str">
        <v>Hinojo</v>
      </c>
      <c r="N38" s="1" t="str">
        <v>Levadura</v>
      </c>
      <c r="O38" s="25" t="str">
        <v>Sal</v>
      </c>
      <c r="P38" s="1"/>
    </row>
    <row r="39" spans="5:16">
      <c r="E39" s="1"/>
      <c r="F39" s="20"/>
      <c r="G39" s="1"/>
      <c r="H39" s="1" t="str">
        <v>Puerro</v>
      </c>
      <c r="I39" s="1"/>
      <c r="J39" s="1" t="str">
        <v>Mezcla rebozar</v>
      </c>
      <c r="K39" s="1" t="str">
        <v>Merluza</v>
      </c>
      <c r="L39" s="1" t="str">
        <v>Jarrete de cordero</v>
      </c>
      <c r="M39" s="1" t="str">
        <v>Hojas de lechuga</v>
      </c>
      <c r="N39" s="1" t="str">
        <v>Mantequilla</v>
      </c>
      <c r="O39" s="25" t="str">
        <v>Tomate</v>
      </c>
      <c r="P39" s="1"/>
    </row>
    <row r="40" spans="5:16">
      <c r="E40" s="1"/>
      <c r="F40" s="20"/>
      <c r="G40" s="1"/>
      <c r="H40" s="1" t="str">
        <v>Ralladura de limón</v>
      </c>
      <c r="I40" s="1"/>
      <c r="J40" s="1" t="str">
        <v>Muslo de pollo</v>
      </c>
      <c r="K40" s="1" t="str">
        <v>Muslo de pollo deshuesado</v>
      </c>
      <c r="L40" s="1" t="str">
        <v>Jengibre</v>
      </c>
      <c r="M40" s="1" t="str">
        <v>Huevo</v>
      </c>
      <c r="N40" s="1" t="str">
        <v>Manzana</v>
      </c>
      <c r="O40" s="25" t="str">
        <v>Tomates cherry</v>
      </c>
      <c r="P40" s="1"/>
    </row>
    <row r="41" spans="5:16">
      <c r="E41" s="1"/>
      <c r="F41" s="20"/>
      <c r="G41" s="1"/>
      <c r="H41" s="1" t="str">
        <v>Sal</v>
      </c>
      <c r="I41" s="1"/>
      <c r="J41" s="1" t="str">
        <v>Panceta</v>
      </c>
      <c r="K41" s="1" t="str">
        <v>Nata líquida</v>
      </c>
      <c r="L41" s="1" t="str">
        <v>Judías verdes</v>
      </c>
      <c r="M41" s="1" t="str">
        <v>Jengibre</v>
      </c>
      <c r="N41" s="1" t="str">
        <v>Menta</v>
      </c>
      <c r="O41" s="25" t="str">
        <v>Tomates pera</v>
      </c>
      <c r="P41" s="1"/>
    </row>
    <row r="42" spans="5:16">
      <c r="E42" s="1"/>
      <c r="F42" s="20"/>
      <c r="G42" s="1"/>
      <c r="H42" s="1" t="str">
        <v>Tomate</v>
      </c>
      <c r="I42" s="1"/>
      <c r="J42" s="1" t="str">
        <v>Panceta gruesa</v>
      </c>
      <c r="K42" s="1" t="str">
        <v>Nuez moscada</v>
      </c>
      <c r="L42" s="1" t="str">
        <v>Lagarto de cedo</v>
      </c>
      <c r="M42" s="1" t="str">
        <v>Láminas hojaldre</v>
      </c>
      <c r="N42" s="1" t="str">
        <v>Mermelada de albaricoque</v>
      </c>
      <c r="O42" s="25" t="str">
        <v>Yema de huevo</v>
      </c>
      <c r="P42" s="1"/>
    </row>
    <row r="43" spans="5:16">
      <c r="E43" s="1"/>
      <c r="F43" s="20"/>
      <c r="G43" s="1"/>
      <c r="H43" s="1" t="str">
        <v>Tomate frito</v>
      </c>
      <c r="I43" s="1"/>
      <c r="J43" s="1" t="str">
        <v>Pastilla de caldo de pollo</v>
      </c>
      <c r="K43" s="1" t="str">
        <v>Orégano</v>
      </c>
      <c r="L43" s="1" t="str">
        <v>Laurel</v>
      </c>
      <c r="M43" s="1" t="str">
        <v>Laurel</v>
      </c>
      <c r="N43" s="1" t="str">
        <v>Naranja</v>
      </c>
      <c r="O43" s="25">
        <v>0</v>
      </c>
      <c r="P43" s="1"/>
    </row>
    <row r="44" spans="5:16">
      <c r="E44" s="21"/>
      <c r="F44" s="20"/>
      <c r="G44" s="1"/>
      <c r="H44" s="1" t="str">
        <v>Vino blanco</v>
      </c>
      <c r="I44" s="1"/>
      <c r="J44" s="1" t="str">
        <v>Patata</v>
      </c>
      <c r="K44" s="1" t="str">
        <v>Panceta</v>
      </c>
      <c r="L44" s="1" t="str">
        <v>Leche</v>
      </c>
      <c r="M44" s="1" t="str">
        <v>Leche</v>
      </c>
      <c r="N44" s="1" t="str">
        <v>Nata</v>
      </c>
      <c r="O44" s="25"/>
      <c r="P44" s="20"/>
    </row>
    <row r="45" spans="5:16">
      <c r="E45" s="21"/>
      <c r="F45" s="20"/>
      <c r="G45" s="1"/>
      <c r="H45" s="1" t="str">
        <v>Yogur griego natural</v>
      </c>
      <c r="I45" s="1"/>
      <c r="J45" s="1" t="str">
        <v>Pechuga de pollo</v>
      </c>
      <c r="K45" s="1" t="str">
        <v>Paté</v>
      </c>
      <c r="L45" s="1" t="str">
        <v>Limón</v>
      </c>
      <c r="M45" s="1" t="str">
        <v>Levadura</v>
      </c>
      <c r="N45" s="1" t="str">
        <v>Nata líquida</v>
      </c>
      <c r="O45" s="25"/>
      <c r="P45" s="20"/>
    </row>
    <row r="46" spans="5:16">
      <c r="E46" s="21"/>
      <c r="F46" s="20"/>
      <c r="G46" s="1"/>
      <c r="H46" s="1" t="str">
        <v>Zanahoria</v>
      </c>
      <c r="I46" s="1"/>
      <c r="J46" s="1" t="str">
        <v>Perejil</v>
      </c>
      <c r="K46" s="1" t="str">
        <v>Pechuga de pollo</v>
      </c>
      <c r="L46" s="1" t="str">
        <v>Mango maduro</v>
      </c>
      <c r="M46" s="1" t="str">
        <v>Limón</v>
      </c>
      <c r="N46" s="1" t="str">
        <v>Nata montada</v>
      </c>
      <c r="O46" s="25"/>
      <c r="P46" s="20"/>
    </row>
    <row r="47" spans="5:16">
      <c r="E47" s="21"/>
      <c r="F47" s="20"/>
      <c r="G47" s="1"/>
      <c r="H47" s="1">
        <v>0</v>
      </c>
      <c r="I47" s="1"/>
      <c r="J47" s="1" t="str">
        <v>Pimentón</v>
      </c>
      <c r="K47" s="1" t="str">
        <v>Perejil</v>
      </c>
      <c r="L47" s="1" t="str">
        <v>Mantequilla</v>
      </c>
      <c r="M47" s="1" t="str">
        <v>Manzana</v>
      </c>
      <c r="N47" s="1" t="str">
        <v>Nata para montar</v>
      </c>
      <c r="O47" s="25"/>
      <c r="P47" s="20"/>
    </row>
    <row r="48" spans="5:16">
      <c r="E48" s="21"/>
      <c r="F48" s="20"/>
      <c r="G48" s="1"/>
      <c r="H48" s="1"/>
      <c r="I48" s="1"/>
      <c r="J48" s="1" t="str">
        <v>Pimienta</v>
      </c>
      <c r="K48" s="1" t="str">
        <v>Pimentón</v>
      </c>
      <c r="L48" s="1" t="str">
        <v>Miga de pan</v>
      </c>
      <c r="M48" s="1" t="str">
        <v>Matequilla</v>
      </c>
      <c r="N48" s="1" t="str">
        <v>Nueces de macadamia</v>
      </c>
      <c r="O48" s="25"/>
      <c r="P48" s="20"/>
    </row>
    <row r="49" spans="5:16">
      <c r="E49" s="21"/>
      <c r="F49" s="20"/>
      <c r="G49" s="1"/>
      <c r="H49" s="1"/>
      <c r="I49" s="1"/>
      <c r="J49" s="1" t="str">
        <v>Pimiento rojo</v>
      </c>
      <c r="K49" s="1" t="str">
        <v>Pimienta</v>
      </c>
      <c r="L49" s="1" t="str">
        <v>Mirin</v>
      </c>
      <c r="M49" s="1" t="str">
        <v>Mayonesa</v>
      </c>
      <c r="N49" s="1" t="str">
        <v>Peras</v>
      </c>
      <c r="O49" s="25"/>
      <c r="P49" s="20"/>
    </row>
    <row r="50" spans="5:16">
      <c r="E50" s="21"/>
      <c r="F50" s="20"/>
      <c r="G50" s="1"/>
      <c r="H50" s="1"/>
      <c r="I50" s="1"/>
      <c r="J50" s="1" t="str">
        <v>Pimiento verde</v>
      </c>
      <c r="K50" s="1" t="str">
        <v>Pimiento rojo</v>
      </c>
      <c r="L50" s="1" t="str">
        <v>Muslo de pavo</v>
      </c>
      <c r="M50" s="1" t="str">
        <v>Merluza</v>
      </c>
      <c r="N50" s="1" t="str">
        <v>Plátano</v>
      </c>
      <c r="O50" s="25"/>
      <c r="P50" s="20"/>
    </row>
    <row r="51" spans="5:16">
      <c r="E51" s="21"/>
      <c r="F51" s="20"/>
      <c r="G51" s="1"/>
      <c r="H51" s="1"/>
      <c r="I51" s="1"/>
      <c r="J51" s="1" t="str">
        <v>Pimientos del piquillo</v>
      </c>
      <c r="K51" s="1" t="str">
        <v>Pimiento verde</v>
      </c>
      <c r="L51" s="1" t="str">
        <v>Nata líquida</v>
      </c>
      <c r="M51" s="1" t="str">
        <v>Mirin</v>
      </c>
      <c r="N51" s="1" t="str">
        <v>Queso crema</v>
      </c>
      <c r="O51" s="25"/>
      <c r="P51" s="20"/>
    </row>
    <row r="52" spans="5:16">
      <c r="E52" s="21"/>
      <c r="F52" s="20"/>
      <c r="G52" s="1"/>
      <c r="H52" s="1"/>
      <c r="I52" s="1"/>
      <c r="J52" s="1" t="str">
        <v>Pollo</v>
      </c>
      <c r="K52" s="1" t="str">
        <v>Puerro</v>
      </c>
      <c r="L52" s="1" t="str">
        <v>Nuez moscada</v>
      </c>
      <c r="M52" s="1" t="str">
        <v>Mostaza</v>
      </c>
      <c r="N52" s="1" t="str">
        <v>Queso cremoso</v>
      </c>
      <c r="O52" s="25"/>
      <c r="P52" s="20"/>
    </row>
    <row r="53" spans="5:16">
      <c r="E53" s="21"/>
      <c r="F53" s="20"/>
      <c r="G53" s="1"/>
      <c r="H53" s="1"/>
      <c r="I53" s="1"/>
      <c r="J53" s="1" t="str">
        <v>Puerro</v>
      </c>
      <c r="K53" s="1" t="str">
        <v>Queso curado de oveja</v>
      </c>
      <c r="L53" s="1" t="str">
        <v>Orégano</v>
      </c>
      <c r="M53" s="1" t="str">
        <v>Nata líquida</v>
      </c>
      <c r="N53" s="1" t="str">
        <v>Queso mascarpone</v>
      </c>
      <c r="O53" s="25"/>
      <c r="P53" s="20"/>
    </row>
    <row r="54" spans="5:16">
      <c r="E54" s="21"/>
      <c r="F54" s="20"/>
      <c r="G54" s="1"/>
      <c r="H54" s="1"/>
      <c r="I54" s="1"/>
      <c r="J54" s="1" t="str">
        <v>Queso rallado</v>
      </c>
      <c r="K54" s="1" t="str">
        <v>Queso en polvo</v>
      </c>
      <c r="L54" s="1" t="str">
        <v>Pan rallado</v>
      </c>
      <c r="M54" s="1" t="str">
        <v>Orégano</v>
      </c>
      <c r="N54" s="1" t="str">
        <v>Ralladura de lima</v>
      </c>
      <c r="O54" s="25"/>
      <c r="P54" s="20"/>
    </row>
    <row r="55" spans="5:16">
      <c r="E55" s="21"/>
      <c r="F55" s="20"/>
      <c r="G55" s="1"/>
      <c r="H55" s="1"/>
      <c r="I55" s="1"/>
      <c r="J55" s="1" t="str">
        <v>Sal</v>
      </c>
      <c r="K55" s="1" t="str">
        <v>Queso parmesano</v>
      </c>
      <c r="L55" s="1" t="str">
        <v>Panceta</v>
      </c>
      <c r="M55" s="1" t="str">
        <v>Pan hamburguesa</v>
      </c>
      <c r="N55" s="1" t="str">
        <v>Rebanada de pan</v>
      </c>
      <c r="O55" s="25"/>
      <c r="P55" s="20"/>
    </row>
    <row r="56" spans="5:16">
      <c r="E56" s="21"/>
      <c r="F56" s="20"/>
      <c r="G56" s="1"/>
      <c r="H56" s="1"/>
      <c r="I56" s="1"/>
      <c r="J56" s="1" t="str">
        <v>Salsa de soja</v>
      </c>
      <c r="K56" s="1" t="str">
        <v>Queso rallado</v>
      </c>
      <c r="L56" s="1" t="str">
        <v>Patata</v>
      </c>
      <c r="M56" s="1" t="str">
        <v>Patata</v>
      </c>
      <c r="N56" s="1" t="str">
        <v>Sal</v>
      </c>
      <c r="O56" s="25"/>
      <c r="P56" s="20"/>
    </row>
    <row r="57" spans="5:16">
      <c r="E57" s="21"/>
      <c r="F57" s="20"/>
      <c r="G57" s="1"/>
      <c r="H57" s="1"/>
      <c r="I57" s="1"/>
      <c r="J57" s="1" t="str">
        <v>Solomillo de cerdo</v>
      </c>
      <c r="K57" s="1" t="str">
        <v>Rigatoni</v>
      </c>
      <c r="L57" s="1" t="str">
        <v>Pechuga de pavo</v>
      </c>
      <c r="M57" s="1" t="str">
        <v>Pepinillos</v>
      </c>
      <c r="N57" s="1" t="str">
        <v>Vainilla</v>
      </c>
      <c r="O57" s="25"/>
      <c r="P57" s="20"/>
    </row>
    <row r="58" spans="5:16">
      <c r="E58" s="21"/>
      <c r="F58" s="20"/>
      <c r="G58" s="1"/>
      <c r="H58" s="1"/>
      <c r="I58" s="1"/>
      <c r="J58" s="1" t="str">
        <v>Tomate</v>
      </c>
      <c r="K58" s="1" t="str">
        <v>Sal</v>
      </c>
      <c r="L58" s="1" t="str">
        <v>Pechuga de pollo</v>
      </c>
      <c r="M58" s="1" t="str">
        <v>Perejil</v>
      </c>
      <c r="N58" s="1" t="str">
        <v>Vino de oporto</v>
      </c>
      <c r="O58" s="25"/>
      <c r="P58" s="20"/>
    </row>
    <row r="59" spans="5:16">
      <c r="E59" s="21"/>
      <c r="F59" s="20"/>
      <c r="G59" s="1"/>
      <c r="H59" s="1"/>
      <c r="I59" s="1"/>
      <c r="J59" s="1" t="str">
        <v>Tomate frito</v>
      </c>
      <c r="K59" s="1" t="str">
        <v>Salmón</v>
      </c>
      <c r="L59" s="1" t="str">
        <v>Pedro Ximénez</v>
      </c>
      <c r="M59" s="1" t="str">
        <v>Pimentón</v>
      </c>
      <c r="N59" s="1" t="str">
        <v>Yema de huevo</v>
      </c>
      <c r="O59" s="25"/>
      <c r="P59" s="20"/>
    </row>
    <row r="60" spans="5:16">
      <c r="E60" s="21"/>
      <c r="F60" s="20"/>
      <c r="G60" s="1"/>
      <c r="H60" s="1"/>
      <c r="I60" s="1"/>
      <c r="J60" s="1" t="str">
        <v>Vinagre</v>
      </c>
      <c r="K60" s="1" t="str">
        <v>Salsa de tomate</v>
      </c>
      <c r="L60" s="1" t="str">
        <v>Perejil</v>
      </c>
      <c r="M60" s="1" t="str">
        <v>Pimentón dulce</v>
      </c>
      <c r="N60" s="1" t="str">
        <v>Yogur natural</v>
      </c>
      <c r="O60" s="25"/>
      <c r="P60" s="20"/>
    </row>
    <row r="61" spans="5:16">
      <c r="E61" s="21"/>
      <c r="F61" s="20"/>
      <c r="G61" s="1"/>
      <c r="H61" s="1"/>
      <c r="I61" s="1"/>
      <c r="J61" s="1" t="str">
        <v>Zanahoria</v>
      </c>
      <c r="K61" s="1" t="str">
        <v>Setas</v>
      </c>
      <c r="L61" s="1" t="str">
        <v>Pimentón</v>
      </c>
      <c r="M61" s="1" t="str">
        <v>Pimienta</v>
      </c>
      <c r="N61" s="1" t="str">
        <v>Zumo de limón</v>
      </c>
      <c r="O61" s="25"/>
      <c r="P61" s="20"/>
    </row>
    <row r="62" spans="5:16">
      <c r="E62" s="21"/>
      <c r="F62" s="20"/>
      <c r="G62" s="1"/>
      <c r="H62" s="1"/>
      <c r="I62" s="1"/>
      <c r="J62" s="1">
        <v>0</v>
      </c>
      <c r="K62" s="1" t="str">
        <v>Sofrito de tomate y cebolla</v>
      </c>
      <c r="L62" s="1" t="str">
        <v>Pimentón dulce</v>
      </c>
      <c r="M62" s="1" t="str">
        <v>Pimiento morrón</v>
      </c>
      <c r="N62" s="1">
        <v>0</v>
      </c>
      <c r="O62" s="25"/>
      <c r="P62" s="20"/>
    </row>
    <row r="63" spans="5:16">
      <c r="E63" s="21"/>
      <c r="F63" s="20"/>
      <c r="G63" s="1"/>
      <c r="H63" s="1"/>
      <c r="I63" s="1"/>
      <c r="J63" s="1"/>
      <c r="K63" s="1" t="str">
        <v>Tagliatelle</v>
      </c>
      <c r="L63" s="1" t="str">
        <v>Pimienta</v>
      </c>
      <c r="M63" s="1" t="str">
        <v>Pimientos del padrón</v>
      </c>
      <c r="N63" s="1"/>
      <c r="O63" s="25"/>
      <c r="P63" s="20"/>
    </row>
    <row r="64" spans="5:16">
      <c r="E64" s="21"/>
      <c r="F64" s="20"/>
      <c r="G64" s="1"/>
      <c r="H64" s="1"/>
      <c r="I64" s="1"/>
      <c r="J64" s="1"/>
      <c r="K64" s="1" t="str">
        <v>Tallarines</v>
      </c>
      <c r="L64" s="1" t="str">
        <v>Pimiento rojo</v>
      </c>
      <c r="M64" s="1" t="str">
        <v>Pimieto morrón</v>
      </c>
      <c r="N64" s="1"/>
      <c r="O64" s="25"/>
      <c r="P64" s="20"/>
    </row>
    <row r="65" spans="5:16">
      <c r="E65" s="21"/>
      <c r="F65" s="20"/>
      <c r="G65" s="1"/>
      <c r="H65" s="1"/>
      <c r="I65" s="1"/>
      <c r="J65" s="1"/>
      <c r="K65" s="1" t="str">
        <v>Tomate</v>
      </c>
      <c r="L65" s="1" t="str">
        <v>Pimiento verde</v>
      </c>
      <c r="M65" s="1" t="str">
        <v>Pistacho pelado</v>
      </c>
      <c r="N65" s="1"/>
      <c r="O65" s="25"/>
      <c r="P65" s="20"/>
    </row>
    <row r="66" spans="5:16">
      <c r="E66" s="21"/>
      <c r="F66" s="20"/>
      <c r="G66" s="1"/>
      <c r="H66" s="1"/>
      <c r="I66" s="1"/>
      <c r="J66" s="1"/>
      <c r="K66" s="1" t="str">
        <v>Tomate maduro</v>
      </c>
      <c r="L66" s="1" t="str">
        <v>Pimientos del piquillo</v>
      </c>
      <c r="M66" s="1" t="str">
        <v>Ralladura de limón</v>
      </c>
      <c r="N66" s="1"/>
      <c r="O66" s="25"/>
      <c r="P66" s="20"/>
    </row>
    <row r="67" spans="5:16">
      <c r="E67" s="21"/>
      <c r="F67" s="20"/>
      <c r="G67" s="1"/>
      <c r="H67" s="1"/>
      <c r="I67" s="1"/>
      <c r="J67" s="1"/>
      <c r="K67" s="1" t="str">
        <v>Tomate seco</v>
      </c>
      <c r="L67" s="1" t="str">
        <v>Polenta</v>
      </c>
      <c r="M67" s="1" t="str">
        <v>Rape</v>
      </c>
      <c r="N67" s="1"/>
      <c r="O67" s="25"/>
      <c r="P67" s="20"/>
    </row>
    <row r="68" spans="5:16">
      <c r="E68" s="21"/>
      <c r="F68" s="20"/>
      <c r="G68" s="1"/>
      <c r="H68" s="1"/>
      <c r="I68" s="1"/>
      <c r="J68" s="1"/>
      <c r="K68" s="1" t="str">
        <v>Tomate triturado</v>
      </c>
      <c r="L68" s="1" t="str">
        <v>Pollo</v>
      </c>
      <c r="M68" s="1" t="str">
        <v>Rebanada de pan</v>
      </c>
      <c r="N68" s="1"/>
      <c r="O68" s="25"/>
      <c r="P68" s="20"/>
    </row>
    <row r="69" spans="5:16">
      <c r="E69" s="21"/>
      <c r="F69" s="20"/>
      <c r="G69" s="1"/>
      <c r="H69" s="1"/>
      <c r="I69" s="1"/>
      <c r="J69" s="1"/>
      <c r="K69" s="1" t="str">
        <v>Tomillo seco</v>
      </c>
      <c r="L69" s="1" t="str">
        <v>Puerro</v>
      </c>
      <c r="M69" s="1" t="str">
        <v>Rodajas de tomate</v>
      </c>
      <c r="N69" s="1"/>
      <c r="O69" s="25"/>
      <c r="P69" s="20"/>
    </row>
    <row r="70" spans="5:16">
      <c r="E70" s="21"/>
      <c r="F70" s="20"/>
      <c r="G70" s="1"/>
      <c r="H70" s="1"/>
      <c r="I70" s="1"/>
      <c r="J70" s="1"/>
      <c r="K70" s="1" t="str">
        <v>Vino blanco</v>
      </c>
      <c r="L70" s="1" t="str">
        <v>Queso curado de oveja</v>
      </c>
      <c r="M70" s="1" t="str">
        <v>Sake</v>
      </c>
      <c r="N70" s="1"/>
      <c r="O70" s="25"/>
      <c r="P70" s="20"/>
    </row>
    <row r="71" spans="5:16">
      <c r="E71" s="21"/>
      <c r="F71" s="20"/>
      <c r="G71" s="1"/>
      <c r="H71" s="1"/>
      <c r="I71" s="1"/>
      <c r="J71" s="1"/>
      <c r="K71" s="1" t="str">
        <v>Yema de huevo</v>
      </c>
      <c r="L71" s="1" t="str">
        <v>Queso rallado</v>
      </c>
      <c r="M71" s="1" t="str">
        <v>Sal</v>
      </c>
      <c r="N71" s="1"/>
      <c r="O71" s="25"/>
      <c r="P71" s="20"/>
    </row>
    <row r="72" spans="5:16">
      <c r="E72" s="21"/>
      <c r="F72" s="20"/>
      <c r="G72" s="1"/>
      <c r="H72" s="1"/>
      <c r="I72" s="1"/>
      <c r="J72" s="1"/>
      <c r="K72" s="1" t="str">
        <v>Yogur natural</v>
      </c>
      <c r="L72" s="1" t="str">
        <v>Romero</v>
      </c>
      <c r="M72" s="1" t="str">
        <v>Salmón</v>
      </c>
      <c r="N72" s="1"/>
      <c r="O72" s="25"/>
      <c r="P72" s="20"/>
    </row>
    <row r="73" spans="5:16">
      <c r="E73" s="21"/>
      <c r="F73" s="20"/>
      <c r="G73" s="1"/>
      <c r="H73" s="1"/>
      <c r="I73" s="1"/>
      <c r="J73" s="1"/>
      <c r="K73" s="1" t="str">
        <v>Zanahoria</v>
      </c>
      <c r="L73" s="1" t="str">
        <v>Sake</v>
      </c>
      <c r="M73" s="1" t="str">
        <v>Salmón ahumado</v>
      </c>
      <c r="N73" s="1"/>
      <c r="O73" s="25"/>
      <c r="P73" s="20"/>
    </row>
    <row r="74" spans="5:16">
      <c r="E74" s="21"/>
      <c r="F74" s="20"/>
      <c r="G74" s="1"/>
      <c r="H74" s="1"/>
      <c r="I74" s="1"/>
      <c r="J74" s="1"/>
      <c r="K74" s="1">
        <v>0</v>
      </c>
      <c r="L74" s="1" t="str">
        <v>Sal</v>
      </c>
      <c r="M74" s="1" t="str">
        <v>Salmonete</v>
      </c>
      <c r="N74" s="1"/>
      <c r="O74" s="25"/>
      <c r="P74" s="20"/>
    </row>
    <row r="75" spans="5:16">
      <c r="E75" s="21"/>
      <c r="F75" s="20"/>
      <c r="G75" s="1"/>
      <c r="H75" s="1"/>
      <c r="I75" s="1"/>
      <c r="J75" s="1"/>
      <c r="K75" s="1"/>
      <c r="L75" s="1" t="str">
        <v>Salsa de soja</v>
      </c>
      <c r="M75" s="1" t="str">
        <v>Salsa de soja</v>
      </c>
      <c r="N75" s="1"/>
      <c r="O75" s="25"/>
      <c r="P75" s="20"/>
    </row>
    <row r="76" spans="5:16">
      <c r="E76" s="21"/>
      <c r="F76" s="20"/>
      <c r="G76" s="1"/>
      <c r="H76" s="1"/>
      <c r="I76" s="1"/>
      <c r="J76" s="1"/>
      <c r="K76" s="1"/>
      <c r="L76" s="1" t="str">
        <v>Salsa de tomate</v>
      </c>
      <c r="M76" s="1" t="str">
        <v>Salsa de tomate</v>
      </c>
      <c r="N76" s="1"/>
      <c r="O76" s="25"/>
      <c r="P76" s="20"/>
    </row>
    <row r="77" spans="5:16">
      <c r="E77" s="21"/>
      <c r="F77" s="20"/>
      <c r="G77" s="1"/>
      <c r="H77" s="1"/>
      <c r="I77" s="1"/>
      <c r="J77" s="1"/>
      <c r="K77" s="1"/>
      <c r="L77" s="1" t="str">
        <v>Sidra</v>
      </c>
      <c r="M77" s="1" t="str">
        <v>Sidra</v>
      </c>
      <c r="N77" s="1"/>
      <c r="O77" s="25"/>
      <c r="P77" s="20"/>
    </row>
    <row r="78" spans="5:16">
      <c r="E78" s="21"/>
      <c r="F78" s="20"/>
      <c r="G78" s="1"/>
      <c r="H78" s="1"/>
      <c r="I78" s="1"/>
      <c r="J78" s="1"/>
      <c r="K78" s="1"/>
      <c r="L78" s="1" t="str">
        <v>Sofrito de tomate y cebolla</v>
      </c>
      <c r="M78" s="1" t="str">
        <v>Tomate maduro</v>
      </c>
      <c r="N78" s="1"/>
      <c r="O78" s="25"/>
      <c r="P78" s="20"/>
    </row>
    <row r="79" spans="5:16">
      <c r="E79" s="21"/>
      <c r="F79" s="20"/>
      <c r="G79" s="1"/>
      <c r="H79" s="1"/>
      <c r="I79" s="1"/>
      <c r="J79" s="1"/>
      <c r="K79" s="1"/>
      <c r="L79" s="1" t="str">
        <v>Ternera</v>
      </c>
      <c r="M79" s="1" t="str">
        <v>Tomillo</v>
      </c>
      <c r="N79" s="1"/>
      <c r="O79" s="25"/>
      <c r="P79" s="20"/>
    </row>
    <row r="80" spans="5:16">
      <c r="E80" s="21"/>
      <c r="F80" s="20"/>
      <c r="G80" s="1"/>
      <c r="H80" s="1"/>
      <c r="I80" s="1"/>
      <c r="J80" s="1"/>
      <c r="K80" s="1"/>
      <c r="L80" s="1" t="str">
        <v>Tomate</v>
      </c>
      <c r="M80" s="1" t="str">
        <v>Vermut blanco</v>
      </c>
      <c r="N80" s="1"/>
      <c r="O80" s="25"/>
      <c r="P80" s="20"/>
    </row>
    <row r="81" spans="5:16">
      <c r="E81" s="21"/>
      <c r="F81" s="20"/>
      <c r="G81" s="1"/>
      <c r="H81" s="1"/>
      <c r="I81" s="1"/>
      <c r="J81" s="1"/>
      <c r="K81" s="1"/>
      <c r="L81" s="1" t="str">
        <v>Tomate concentrado</v>
      </c>
      <c r="M81" s="1" t="str">
        <v>Vinagre</v>
      </c>
      <c r="N81" s="1"/>
      <c r="O81" s="25"/>
      <c r="P81" s="20"/>
    </row>
    <row r="82" spans="5:16">
      <c r="E82" s="21"/>
      <c r="F82" s="20"/>
      <c r="G82" s="1"/>
      <c r="H82" s="1"/>
      <c r="I82" s="1"/>
      <c r="J82" s="1"/>
      <c r="K82" s="1"/>
      <c r="L82" s="1" t="str">
        <v>Tomate maduro</v>
      </c>
      <c r="M82" s="1" t="str">
        <v>Vinagre blanco</v>
      </c>
      <c r="N82" s="1"/>
      <c r="O82" s="25"/>
      <c r="P82" s="20"/>
    </row>
    <row r="83" spans="5:16">
      <c r="E83" s="21"/>
      <c r="F83" s="20"/>
      <c r="G83" s="1"/>
      <c r="H83" s="1"/>
      <c r="I83" s="1"/>
      <c r="J83" s="1"/>
      <c r="K83" s="1"/>
      <c r="L83" s="1" t="str">
        <v>Tomate triturado</v>
      </c>
      <c r="M83" s="1" t="str">
        <v>Vinagre de módena</v>
      </c>
      <c r="N83" s="1"/>
      <c r="O83" s="25"/>
      <c r="P83" s="20"/>
    </row>
    <row r="84" spans="5:16">
      <c r="E84" s="21"/>
      <c r="F84" s="20"/>
      <c r="G84" s="1"/>
      <c r="H84" s="1"/>
      <c r="I84" s="1"/>
      <c r="J84" s="1"/>
      <c r="K84" s="1"/>
      <c r="L84" s="1" t="str">
        <v>Tomillo</v>
      </c>
      <c r="M84" s="1" t="str">
        <v>Vino blanco</v>
      </c>
      <c r="N84" s="1"/>
      <c r="O84" s="25"/>
      <c r="P84" s="20"/>
    </row>
    <row r="85" spans="5:16">
      <c r="E85" s="21"/>
      <c r="F85" s="20"/>
      <c r="G85" s="1"/>
      <c r="H85" s="1"/>
      <c r="I85" s="1"/>
      <c r="J85" s="1"/>
      <c r="K85" s="1"/>
      <c r="L85" s="1" t="str">
        <v>Vinagre</v>
      </c>
      <c r="M85" s="1" t="str">
        <v>Yogur natural</v>
      </c>
      <c r="N85" s="1"/>
      <c r="O85" s="25"/>
      <c r="P85" s="20"/>
    </row>
    <row r="86" spans="5:16">
      <c r="E86" s="21"/>
      <c r="F86" s="20"/>
      <c r="G86" s="1"/>
      <c r="H86" s="1"/>
      <c r="I86" s="1"/>
      <c r="J86" s="1"/>
      <c r="K86" s="1"/>
      <c r="L86" s="1" t="str">
        <v>Vino blanco</v>
      </c>
      <c r="M86" s="1" t="str">
        <v>Zanahoria</v>
      </c>
      <c r="N86" s="1"/>
      <c r="O86" s="25"/>
      <c r="P86" s="20"/>
    </row>
    <row r="87" spans="5:16">
      <c r="E87" s="21"/>
      <c r="F87" s="20"/>
      <c r="G87" s="1"/>
      <c r="H87" s="1"/>
      <c r="I87" s="1"/>
      <c r="J87" s="1"/>
      <c r="K87" s="1"/>
      <c r="L87" s="1" t="str">
        <v>Vino de oporto</v>
      </c>
      <c r="M87" s="1">
        <v>0</v>
      </c>
      <c r="N87" s="1"/>
      <c r="O87" s="25"/>
      <c r="P87" s="20"/>
    </row>
    <row r="88" spans="5:16">
      <c r="E88" s="21"/>
      <c r="F88" s="20"/>
      <c r="G88" s="1"/>
      <c r="H88" s="1"/>
      <c r="I88" s="1"/>
      <c r="J88" s="1"/>
      <c r="K88" s="1"/>
      <c r="L88" s="1" t="str">
        <v>Vino tinto</v>
      </c>
      <c r="M88" s="1"/>
      <c r="N88" s="1"/>
      <c r="O88" s="25"/>
      <c r="P88" s="20"/>
    </row>
    <row r="89" spans="5:16">
      <c r="E89" s="21"/>
      <c r="F89" s="20"/>
      <c r="G89" s="1"/>
      <c r="H89" s="1"/>
      <c r="I89" s="1"/>
      <c r="J89" s="1"/>
      <c r="K89" s="1"/>
      <c r="L89" s="1" t="str">
        <v>Yema de huevo</v>
      </c>
      <c r="M89" s="1"/>
      <c r="N89" s="1"/>
      <c r="O89" s="25"/>
      <c r="P89" s="20"/>
    </row>
    <row r="90" spans="5:16">
      <c r="E90" s="21"/>
      <c r="F90" s="20"/>
      <c r="G90" s="1"/>
      <c r="H90" s="1"/>
      <c r="I90" s="1"/>
      <c r="J90" s="1"/>
      <c r="K90" s="1"/>
      <c r="L90" s="1" t="str">
        <v>Zanahoria</v>
      </c>
      <c r="M90" s="1"/>
      <c r="N90" s="1"/>
      <c r="O90" s="25"/>
      <c r="P90" s="20"/>
    </row>
    <row r="91" spans="5:16">
      <c r="E91" s="21"/>
      <c r="F91" s="20"/>
      <c r="G91" s="1"/>
      <c r="H91" s="1"/>
      <c r="I91" s="1"/>
      <c r="J91" s="1"/>
      <c r="K91" s="1"/>
      <c r="L91" s="1">
        <v>0</v>
      </c>
      <c r="M91" s="1"/>
      <c r="N91" s="1"/>
      <c r="O91" s="25"/>
      <c r="P91" s="20"/>
    </row>
    <row r="92" spans="5:16">
      <c r="E92" s="21"/>
      <c r="F92" s="20"/>
      <c r="G92" s="1"/>
      <c r="H92" s="1"/>
      <c r="I92" s="1"/>
      <c r="J92" s="1"/>
      <c r="K92" s="1"/>
      <c r="L92" s="1"/>
      <c r="M92" s="1"/>
      <c r="N92" s="1"/>
      <c r="O92" s="25"/>
      <c r="P92" s="20"/>
    </row>
    <row r="93" spans="5:16">
      <c r="E93" s="21"/>
      <c r="F93" s="20"/>
      <c r="G93" s="1"/>
      <c r="H93" s="1"/>
      <c r="I93" s="1"/>
      <c r="J93" s="1"/>
      <c r="K93" s="1"/>
      <c r="L93" s="1"/>
      <c r="M93" s="1"/>
      <c r="N93" s="1"/>
      <c r="O93" s="25"/>
      <c r="P93" s="20"/>
    </row>
    <row r="94" spans="5:16">
      <c r="E94" s="21"/>
      <c r="F94" s="20"/>
      <c r="G94" s="1"/>
      <c r="H94" s="1"/>
      <c r="I94" s="1"/>
      <c r="J94" s="1"/>
      <c r="K94" s="1"/>
      <c r="L94" s="1"/>
      <c r="M94" s="1"/>
      <c r="N94" s="1"/>
      <c r="O94" s="25"/>
      <c r="P94" s="20"/>
    </row>
    <row r="95" spans="5:16">
      <c r="E95" s="21"/>
      <c r="F95" s="20"/>
      <c r="G95" s="1"/>
      <c r="H95" s="1"/>
      <c r="I95" s="1"/>
      <c r="J95" s="1"/>
      <c r="K95" s="1"/>
      <c r="L95" s="1"/>
      <c r="M95" s="1"/>
      <c r="N95" s="1"/>
      <c r="O95" s="25"/>
      <c r="P95" s="20"/>
    </row>
    <row r="96" spans="5:16">
      <c r="E96" s="21"/>
      <c r="F96" s="20"/>
      <c r="G96" s="1"/>
      <c r="H96" s="1"/>
      <c r="I96" s="1"/>
      <c r="J96" s="1"/>
      <c r="K96" s="1"/>
      <c r="L96" s="1"/>
      <c r="M96" s="1"/>
      <c r="N96" s="1"/>
      <c r="O96" s="25"/>
      <c r="P96" s="20"/>
    </row>
    <row r="97" spans="5:16">
      <c r="E97" s="21"/>
      <c r="F97" s="20"/>
      <c r="G97" s="1"/>
      <c r="H97" s="1"/>
      <c r="I97" s="1"/>
      <c r="J97" s="1"/>
      <c r="K97" s="1"/>
      <c r="L97" s="1"/>
      <c r="M97" s="1"/>
      <c r="N97" s="1"/>
      <c r="O97" s="25"/>
      <c r="P97" s="20"/>
    </row>
    <row r="98" spans="5:16">
      <c r="E98" s="21"/>
      <c r="F98" s="20"/>
      <c r="G98" s="1"/>
      <c r="H98" s="1"/>
      <c r="I98" s="1"/>
      <c r="J98" s="1"/>
      <c r="K98" s="1"/>
      <c r="L98" s="1"/>
      <c r="M98" s="1"/>
      <c r="N98" s="1"/>
      <c r="O98" s="25"/>
      <c r="P98" s="20"/>
    </row>
    <row r="99" spans="5:16">
      <c r="E99" s="21"/>
      <c r="F99" s="20"/>
      <c r="G99" s="1"/>
      <c r="H99" s="1"/>
      <c r="I99" s="1"/>
      <c r="J99" s="1"/>
      <c r="K99" s="1"/>
      <c r="L99" s="1"/>
      <c r="M99" s="1"/>
      <c r="N99" s="1"/>
      <c r="O99" s="25"/>
      <c r="P99" s="20"/>
    </row>
    <row r="100" spans="5:16">
      <c r="E100" s="21"/>
      <c r="F100" s="20"/>
      <c r="G100" s="1"/>
      <c r="H100" s="1"/>
      <c r="I100" s="1"/>
      <c r="J100" s="1"/>
      <c r="K100" s="1"/>
      <c r="L100" s="1"/>
      <c r="M100" s="1"/>
      <c r="N100" s="1"/>
      <c r="O100" s="25"/>
      <c r="P100" s="20"/>
    </row>
    <row r="101" spans="5:16">
      <c r="E101" s="21"/>
      <c r="F101" s="20"/>
      <c r="G101" s="1"/>
      <c r="H101" s="1"/>
      <c r="I101" s="1"/>
      <c r="J101" s="1"/>
      <c r="K101" s="1"/>
      <c r="L101" s="1"/>
      <c r="M101" s="1"/>
      <c r="N101" s="1"/>
      <c r="O101" s="25"/>
      <c r="P101" s="20"/>
    </row>
    <row r="102" spans="5:16">
      <c r="E102" s="21"/>
      <c r="F102" s="20"/>
      <c r="G102" s="1"/>
      <c r="H102" s="1"/>
      <c r="I102" s="1"/>
      <c r="J102" s="1"/>
      <c r="K102" s="1"/>
      <c r="L102" s="1"/>
      <c r="M102" s="1"/>
      <c r="N102" s="1"/>
      <c r="O102" s="25"/>
      <c r="P102" s="20"/>
    </row>
    <row r="103" spans="5:16">
      <c r="E103" s="21"/>
      <c r="F103" s="20"/>
      <c r="G103" s="1"/>
      <c r="H103" s="1"/>
      <c r="I103" s="1"/>
      <c r="J103" s="1"/>
      <c r="K103" s="1"/>
      <c r="L103" s="1"/>
      <c r="M103" s="1"/>
      <c r="N103" s="1"/>
      <c r="O103" s="25"/>
      <c r="P103" s="20"/>
    </row>
    <row r="104" spans="5:16">
      <c r="E104" s="21"/>
      <c r="F104" s="20"/>
      <c r="G104" s="1"/>
      <c r="H104" s="1"/>
      <c r="I104" s="1"/>
      <c r="J104" s="1"/>
      <c r="K104" s="1"/>
      <c r="L104" s="1"/>
      <c r="M104" s="1"/>
      <c r="N104" s="1"/>
      <c r="O104" s="25"/>
      <c r="P104" s="20"/>
    </row>
    <row r="105" spans="5:16">
      <c r="E105" s="21"/>
      <c r="F105" s="20"/>
      <c r="G105" s="1"/>
      <c r="H105" s="1"/>
      <c r="I105" s="1"/>
      <c r="J105" s="1"/>
      <c r="K105" s="1"/>
      <c r="L105" s="1"/>
      <c r="M105" s="1"/>
      <c r="N105" s="1"/>
      <c r="O105" s="25"/>
      <c r="P105" s="20"/>
    </row>
    <row r="106" spans="5:16">
      <c r="E106" s="21"/>
      <c r="F106" s="1"/>
      <c r="G106" s="1"/>
      <c r="H106" s="1"/>
      <c r="I106" s="1"/>
      <c r="J106" s="1"/>
      <c r="K106" s="1"/>
      <c r="L106" s="1"/>
      <c r="M106" s="1"/>
      <c r="N106" s="1"/>
      <c r="O106" s="25"/>
      <c r="P106" s="20"/>
    </row>
    <row r="107" spans="5:16">
      <c r="E107" s="21"/>
      <c r="F107" s="1"/>
      <c r="G107" s="1"/>
      <c r="H107" s="1"/>
      <c r="I107" s="1"/>
      <c r="J107" s="1"/>
      <c r="K107" s="1"/>
      <c r="L107" s="1"/>
      <c r="M107" s="1"/>
      <c r="N107" s="1"/>
      <c r="O107" s="25"/>
      <c r="P107" s="20"/>
    </row>
    <row r="108" spans="5:16">
      <c r="E108" s="21"/>
      <c r="F108" s="1"/>
      <c r="G108" s="1"/>
      <c r="H108" s="1"/>
      <c r="I108" s="1"/>
      <c r="J108" s="1"/>
      <c r="K108" s="1"/>
      <c r="L108" s="1"/>
      <c r="M108" s="1"/>
      <c r="N108" s="1"/>
      <c r="O108" s="25"/>
      <c r="P108" s="20"/>
    </row>
    <row r="109" spans="5:16">
      <c r="E109" s="21"/>
      <c r="F109" s="1"/>
      <c r="G109" s="1"/>
      <c r="H109" s="1"/>
      <c r="I109" s="1"/>
      <c r="J109" s="1"/>
      <c r="K109" s="1"/>
      <c r="L109" s="1"/>
      <c r="M109" s="1"/>
      <c r="N109" s="1"/>
      <c r="O109" s="25"/>
      <c r="P109" s="20"/>
    </row>
    <row r="110" spans="5:16">
      <c r="E110" s="21"/>
      <c r="F110" s="1"/>
      <c r="G110" s="1"/>
      <c r="H110" s="1"/>
      <c r="I110" s="1"/>
      <c r="J110" s="1"/>
      <c r="K110" s="1"/>
      <c r="L110" s="1"/>
      <c r="M110" s="1"/>
      <c r="N110" s="1"/>
      <c r="O110" s="25"/>
      <c r="P110" s="20"/>
    </row>
    <row r="111" spans="5:16">
      <c r="E111" s="21"/>
      <c r="F111" s="1"/>
      <c r="G111" s="1"/>
      <c r="H111" s="1"/>
      <c r="I111" s="1"/>
      <c r="J111" s="1"/>
      <c r="K111" s="1"/>
      <c r="L111" s="1"/>
      <c r="M111" s="1"/>
      <c r="N111" s="1"/>
      <c r="O111" s="25"/>
      <c r="P111" s="20"/>
    </row>
    <row r="112" spans="5:16">
      <c r="E112" s="21"/>
      <c r="F112" s="1"/>
      <c r="G112" s="1"/>
      <c r="H112" s="1"/>
      <c r="I112" s="1"/>
      <c r="J112" s="1"/>
      <c r="K112" s="1"/>
      <c r="L112" s="1"/>
      <c r="M112" s="1"/>
      <c r="N112" s="1"/>
      <c r="O112" s="25"/>
      <c r="P112" s="20"/>
    </row>
    <row r="113" spans="5:16">
      <c r="E113" s="21"/>
      <c r="F113" s="1"/>
      <c r="G113" s="1"/>
      <c r="H113" s="1"/>
      <c r="I113" s="1"/>
      <c r="J113" s="1"/>
      <c r="K113" s="1"/>
      <c r="L113" s="1"/>
      <c r="M113" s="1"/>
      <c r="N113" s="1"/>
      <c r="O113" s="25"/>
      <c r="P113" s="20"/>
    </row>
    <row r="114" spans="5:16">
      <c r="E114" s="21"/>
      <c r="F114" s="1"/>
      <c r="G114" s="1"/>
      <c r="H114" s="1"/>
      <c r="I114" s="1"/>
      <c r="J114" s="1"/>
      <c r="K114" s="1"/>
      <c r="L114" s="1"/>
      <c r="M114" s="1"/>
      <c r="N114" s="1"/>
      <c r="O114" s="25"/>
      <c r="P114" s="20"/>
    </row>
    <row r="115" spans="5:16">
      <c r="E115" s="21"/>
      <c r="F115" s="1"/>
      <c r="G115" s="1"/>
      <c r="H115" s="1"/>
      <c r="I115" s="1"/>
      <c r="J115" s="1"/>
      <c r="K115" s="1"/>
      <c r="L115" s="1"/>
      <c r="M115" s="1"/>
      <c r="N115" s="1"/>
      <c r="O115" s="25"/>
      <c r="P115" s="20"/>
    </row>
    <row r="116" spans="5:16">
      <c r="E116" s="21"/>
      <c r="F116" s="1"/>
      <c r="G116" s="1"/>
      <c r="H116" s="1"/>
      <c r="I116" s="1"/>
      <c r="J116" s="1"/>
      <c r="K116" s="1"/>
      <c r="L116" s="1"/>
      <c r="M116" s="1"/>
      <c r="N116" s="1"/>
      <c r="O116" s="25"/>
      <c r="P116" s="20"/>
    </row>
    <row r="117" spans="5:16">
      <c r="E117" s="21"/>
      <c r="F117" s="1"/>
      <c r="G117" s="1"/>
      <c r="H117" s="1"/>
      <c r="I117" s="1"/>
      <c r="J117" s="1"/>
      <c r="K117" s="1"/>
      <c r="L117" s="1"/>
      <c r="M117" s="1"/>
      <c r="N117" s="1"/>
      <c r="O117" s="25"/>
      <c r="P117" s="20"/>
    </row>
    <row r="118" spans="5:16">
      <c r="E118" s="21"/>
      <c r="F118" s="1"/>
      <c r="G118" s="1"/>
      <c r="H118" s="1"/>
      <c r="I118" s="1"/>
      <c r="J118" s="1"/>
      <c r="K118" s="1"/>
      <c r="L118" s="1"/>
      <c r="M118" s="1"/>
      <c r="N118" s="1"/>
      <c r="O118" s="25"/>
      <c r="P118" s="20"/>
    </row>
    <row r="119" spans="5:16">
      <c r="E119" s="21"/>
      <c r="F119" s="1"/>
      <c r="G119" s="1"/>
      <c r="H119" s="1"/>
      <c r="I119" s="1"/>
      <c r="J119" s="1"/>
      <c r="K119" s="1"/>
      <c r="L119" s="1"/>
      <c r="M119" s="1"/>
      <c r="N119" s="1"/>
      <c r="O119" s="25"/>
      <c r="P119" s="20"/>
    </row>
    <row r="120" spans="5:16">
      <c r="E120" s="21"/>
      <c r="F120" s="1"/>
      <c r="G120" s="1"/>
      <c r="H120" s="1"/>
      <c r="I120" s="1"/>
      <c r="J120" s="1"/>
      <c r="K120" s="1"/>
      <c r="L120" s="1"/>
      <c r="M120" s="1"/>
      <c r="N120" s="1"/>
      <c r="O120" s="25"/>
      <c r="P120" s="20"/>
    </row>
    <row r="121" spans="5:16">
      <c r="E121" s="21"/>
      <c r="F121" s="1"/>
      <c r="G121" s="1"/>
      <c r="H121" s="1"/>
      <c r="I121" s="1"/>
      <c r="J121" s="1"/>
      <c r="K121" s="1"/>
      <c r="L121" s="1"/>
      <c r="M121" s="1"/>
      <c r="N121" s="1"/>
      <c r="O121" s="25"/>
      <c r="P121" s="20"/>
    </row>
    <row r="122" spans="5:16">
      <c r="E122" s="21"/>
      <c r="F122" s="1"/>
      <c r="G122" s="1"/>
      <c r="H122" s="1"/>
      <c r="I122" s="1"/>
      <c r="J122" s="1"/>
      <c r="K122" s="1"/>
      <c r="L122" s="1"/>
      <c r="M122" s="1"/>
      <c r="N122" s="1"/>
      <c r="O122" s="25"/>
      <c r="P122" s="20"/>
    </row>
    <row r="123" spans="5:16">
      <c r="E123" s="21"/>
      <c r="F123" s="1"/>
      <c r="G123" s="1"/>
      <c r="H123" s="1"/>
      <c r="I123" s="1"/>
      <c r="J123" s="1"/>
      <c r="K123" s="1"/>
      <c r="L123" s="1"/>
      <c r="M123" s="1"/>
      <c r="N123" s="1"/>
      <c r="O123" s="25"/>
      <c r="P123" s="20"/>
    </row>
    <row r="124" spans="5:16">
      <c r="E124" s="21"/>
      <c r="F124" s="1"/>
      <c r="G124" s="1"/>
      <c r="H124" s="1"/>
      <c r="I124" s="1"/>
      <c r="J124" s="1"/>
      <c r="K124" s="1"/>
      <c r="L124" s="1"/>
      <c r="M124" s="1"/>
      <c r="N124" s="1"/>
      <c r="O124" s="25"/>
      <c r="P124" s="20"/>
    </row>
    <row r="125" spans="5:16">
      <c r="E125" s="21"/>
      <c r="F125" s="1"/>
      <c r="G125" s="1"/>
      <c r="H125" s="1"/>
      <c r="I125" s="1"/>
      <c r="J125" s="1"/>
      <c r="K125" s="1"/>
      <c r="L125" s="1"/>
      <c r="M125" s="1"/>
      <c r="N125" s="1"/>
      <c r="O125" s="25"/>
      <c r="P125" s="20"/>
    </row>
    <row r="126" spans="5:16">
      <c r="E126" s="21"/>
      <c r="F126" s="1"/>
      <c r="G126" s="1"/>
      <c r="H126" s="1"/>
      <c r="I126" s="1"/>
      <c r="J126" s="1"/>
      <c r="K126" s="1"/>
      <c r="L126" s="1"/>
      <c r="M126" s="1"/>
      <c r="N126" s="1"/>
      <c r="O126" s="25"/>
      <c r="P126" s="20"/>
    </row>
    <row r="127" spans="5:16">
      <c r="E127" s="21"/>
      <c r="F127" s="1"/>
      <c r="G127" s="1"/>
      <c r="H127" s="1"/>
      <c r="I127" s="1"/>
      <c r="J127" s="1"/>
      <c r="K127" s="1"/>
      <c r="L127" s="1"/>
      <c r="M127" s="1"/>
      <c r="N127" s="1"/>
      <c r="O127" s="25"/>
      <c r="P127" s="20"/>
    </row>
    <row r="128" spans="5:16">
      <c r="E128" s="21"/>
      <c r="F128" s="1"/>
      <c r="G128" s="1"/>
      <c r="H128" s="1"/>
      <c r="I128" s="1"/>
      <c r="J128" s="1"/>
      <c r="K128" s="1"/>
      <c r="L128" s="1"/>
      <c r="M128" s="1"/>
      <c r="N128" s="1"/>
      <c r="O128" s="25"/>
      <c r="P128" s="20"/>
    </row>
    <row r="129" spans="5:16">
      <c r="E129" s="21"/>
      <c r="F129" s="1"/>
      <c r="G129" s="1"/>
      <c r="H129" s="1"/>
      <c r="I129" s="1"/>
      <c r="J129" s="1"/>
      <c r="K129" s="1"/>
      <c r="L129" s="1"/>
      <c r="M129" s="1"/>
      <c r="N129" s="1"/>
      <c r="O129" s="25"/>
      <c r="P129" s="20"/>
    </row>
    <row r="130" spans="5:16">
      <c r="E130" s="21"/>
      <c r="F130" s="1"/>
      <c r="G130" s="1"/>
      <c r="H130" s="1"/>
      <c r="I130" s="1"/>
      <c r="J130" s="1"/>
      <c r="K130" s="1"/>
      <c r="L130" s="1"/>
      <c r="M130" s="1"/>
      <c r="N130" s="1"/>
      <c r="O130" s="25"/>
      <c r="P130" s="20"/>
    </row>
    <row r="131" spans="5:16">
      <c r="E131" s="21"/>
      <c r="F131" s="1"/>
      <c r="G131" s="1"/>
      <c r="H131" s="1"/>
      <c r="I131" s="1"/>
      <c r="J131" s="1"/>
      <c r="K131" s="1"/>
      <c r="L131" s="1"/>
      <c r="M131" s="1"/>
      <c r="N131" s="1"/>
      <c r="O131" s="25"/>
      <c r="P131" s="20"/>
    </row>
    <row r="132" spans="5:16">
      <c r="E132" s="21"/>
      <c r="F132" s="1"/>
      <c r="G132" s="1"/>
      <c r="H132" s="1"/>
      <c r="I132" s="1"/>
      <c r="J132" s="1"/>
      <c r="K132" s="1"/>
      <c r="L132" s="1"/>
      <c r="M132" s="1"/>
      <c r="N132" s="1"/>
      <c r="O132" s="25"/>
      <c r="P132" s="20"/>
    </row>
    <row r="133" spans="5:16">
      <c r="E133" s="21"/>
      <c r="F133" s="1"/>
      <c r="G133" s="1"/>
      <c r="H133" s="1"/>
      <c r="I133" s="1"/>
      <c r="J133" s="1"/>
      <c r="K133" s="1"/>
      <c r="L133" s="1"/>
      <c r="M133" s="1"/>
      <c r="N133" s="1"/>
      <c r="O133" s="25"/>
      <c r="P133" s="20"/>
    </row>
    <row r="134" spans="5:16">
      <c r="E134" s="21"/>
      <c r="F134" s="1"/>
      <c r="G134" s="1"/>
      <c r="H134" s="1"/>
      <c r="I134" s="1"/>
      <c r="J134" s="1"/>
      <c r="K134" s="1"/>
      <c r="L134" s="1"/>
      <c r="M134" s="1"/>
      <c r="N134" s="1"/>
      <c r="O134" s="25"/>
      <c r="P134" s="20"/>
    </row>
    <row r="135" spans="5:16">
      <c r="E135" s="21"/>
      <c r="F135" s="1"/>
      <c r="G135" s="1"/>
      <c r="H135" s="1"/>
      <c r="I135" s="1"/>
      <c r="J135" s="1"/>
      <c r="K135" s="1"/>
      <c r="L135" s="1"/>
      <c r="M135" s="1"/>
      <c r="N135" s="1"/>
      <c r="O135" s="25"/>
      <c r="P135" s="20"/>
    </row>
    <row r="136" spans="5:16">
      <c r="E136" s="21"/>
      <c r="F136" s="1"/>
      <c r="G136" s="1"/>
      <c r="H136" s="1"/>
      <c r="I136" s="1"/>
      <c r="J136" s="1"/>
      <c r="K136" s="1"/>
      <c r="L136" s="1"/>
      <c r="M136" s="1"/>
      <c r="N136" s="1"/>
      <c r="O136" s="25"/>
      <c r="P136" s="20"/>
    </row>
    <row r="137" spans="5:16">
      <c r="E137" s="21"/>
      <c r="F137" s="1"/>
      <c r="G137" s="1"/>
      <c r="H137" s="1"/>
      <c r="I137" s="1"/>
      <c r="J137" s="1"/>
      <c r="K137" s="1"/>
      <c r="L137" s="1"/>
      <c r="M137" s="1"/>
      <c r="N137" s="1"/>
      <c r="O137" s="25"/>
      <c r="P137" s="20"/>
    </row>
    <row r="138" spans="5:16">
      <c r="E138" s="21"/>
      <c r="F138" s="1"/>
      <c r="G138" s="1"/>
      <c r="H138" s="1"/>
      <c r="I138" s="1"/>
      <c r="J138" s="1"/>
      <c r="K138" s="1"/>
      <c r="L138" s="1"/>
      <c r="M138" s="1"/>
      <c r="N138" s="1"/>
      <c r="O138" s="25"/>
      <c r="P138" s="20"/>
    </row>
    <row r="139" spans="5:16">
      <c r="E139" s="21"/>
      <c r="F139" s="1"/>
      <c r="G139" s="1"/>
      <c r="H139" s="1"/>
      <c r="I139" s="1"/>
      <c r="J139" s="1"/>
      <c r="K139" s="1"/>
      <c r="L139" s="1"/>
      <c r="M139" s="1"/>
      <c r="N139" s="1"/>
      <c r="O139" s="25"/>
      <c r="P139" s="20"/>
    </row>
    <row r="140" spans="5:16">
      <c r="E140" s="21"/>
      <c r="F140" s="1"/>
      <c r="G140" s="1"/>
      <c r="H140" s="1"/>
      <c r="I140" s="1"/>
      <c r="J140" s="1"/>
      <c r="K140" s="1"/>
      <c r="L140" s="1"/>
      <c r="M140" s="1"/>
      <c r="N140" s="1"/>
      <c r="O140" s="25"/>
      <c r="P140" s="20"/>
    </row>
    <row r="141" spans="5:16">
      <c r="E141" s="21"/>
      <c r="F141" s="1"/>
      <c r="G141" s="1"/>
      <c r="H141" s="1"/>
      <c r="I141" s="1"/>
      <c r="J141" s="1"/>
      <c r="K141" s="1"/>
      <c r="L141" s="1"/>
      <c r="M141" s="1"/>
      <c r="N141" s="1"/>
      <c r="O141" s="25"/>
      <c r="P141" s="20"/>
    </row>
    <row r="142" spans="5:16">
      <c r="E142" s="21"/>
      <c r="F142" s="1"/>
      <c r="G142" s="1"/>
      <c r="H142" s="1"/>
      <c r="I142" s="1"/>
      <c r="J142" s="1"/>
      <c r="K142" s="1"/>
      <c r="L142" s="1"/>
      <c r="M142" s="1"/>
      <c r="N142" s="1"/>
      <c r="O142" s="25"/>
      <c r="P142" s="20"/>
    </row>
    <row r="143" spans="5:16">
      <c r="E143" s="21"/>
      <c r="F143" s="1"/>
      <c r="G143" s="1"/>
      <c r="H143" s="1"/>
      <c r="I143" s="1"/>
      <c r="J143" s="1"/>
      <c r="K143" s="1"/>
      <c r="L143" s="1"/>
      <c r="M143" s="1"/>
      <c r="N143" s="1"/>
      <c r="O143" s="25"/>
      <c r="P143" s="20"/>
    </row>
    <row r="144" spans="5:16">
      <c r="E144" s="21"/>
      <c r="F144" s="1"/>
      <c r="G144" s="1"/>
      <c r="H144" s="1"/>
      <c r="I144" s="1"/>
      <c r="J144" s="1"/>
      <c r="K144" s="1"/>
      <c r="L144" s="1"/>
      <c r="M144" s="1"/>
      <c r="N144" s="1"/>
      <c r="O144" s="25"/>
      <c r="P144" s="20"/>
    </row>
    <row r="145" spans="5:16">
      <c r="E145" s="21"/>
      <c r="F145" s="1"/>
      <c r="G145" s="1"/>
      <c r="H145" s="1"/>
      <c r="I145" s="1"/>
      <c r="J145" s="1"/>
      <c r="K145" s="1"/>
      <c r="L145" s="1"/>
      <c r="M145" s="1"/>
      <c r="N145" s="1"/>
      <c r="O145" s="25"/>
      <c r="P145" s="20"/>
    </row>
    <row r="146" spans="5:16">
      <c r="E146" s="21"/>
      <c r="F146" s="1"/>
      <c r="G146" s="1"/>
      <c r="H146" s="1"/>
      <c r="I146" s="1"/>
      <c r="J146" s="1"/>
      <c r="K146" s="1"/>
      <c r="L146" s="1"/>
      <c r="M146" s="1"/>
      <c r="N146" s="1"/>
      <c r="O146" s="25"/>
      <c r="P146" s="20"/>
    </row>
    <row r="147" spans="5:16">
      <c r="E147" s="21"/>
      <c r="F147" s="1"/>
      <c r="G147" s="1"/>
      <c r="H147" s="1"/>
      <c r="I147" s="1"/>
      <c r="J147" s="1"/>
      <c r="K147" s="1"/>
      <c r="L147" s="1"/>
      <c r="M147" s="1"/>
      <c r="N147" s="1"/>
      <c r="O147" s="25"/>
      <c r="P147" s="20"/>
    </row>
    <row r="148" spans="5:16">
      <c r="E148" s="21"/>
      <c r="F148" s="1"/>
      <c r="G148" s="1"/>
      <c r="H148" s="1"/>
      <c r="I148" s="1"/>
      <c r="J148" s="1"/>
      <c r="K148" s="1"/>
      <c r="L148" s="1"/>
      <c r="M148" s="1"/>
      <c r="N148" s="1"/>
      <c r="O148" s="25"/>
      <c r="P148" s="20"/>
    </row>
    <row r="149" spans="5:16">
      <c r="E149" s="21"/>
      <c r="F149" s="1"/>
      <c r="G149" s="1"/>
      <c r="H149" s="1"/>
      <c r="I149" s="1"/>
      <c r="J149" s="1"/>
      <c r="K149" s="1"/>
      <c r="L149" s="1"/>
      <c r="M149" s="1"/>
      <c r="N149" s="1"/>
      <c r="O149" s="25"/>
      <c r="P149" s="20"/>
    </row>
    <row r="150" spans="5:16">
      <c r="E150" s="21"/>
      <c r="F150" s="1"/>
      <c r="G150" s="1"/>
      <c r="H150" s="1"/>
      <c r="I150" s="1"/>
      <c r="J150" s="1"/>
      <c r="K150" s="1"/>
      <c r="L150" s="1"/>
      <c r="M150" s="1"/>
      <c r="N150" s="1"/>
      <c r="O150" s="25"/>
      <c r="P150" s="20"/>
    </row>
    <row r="151" spans="5:16">
      <c r="E151" s="21"/>
      <c r="F151" s="1"/>
      <c r="G151" s="1"/>
      <c r="H151" s="1"/>
      <c r="I151" s="1"/>
      <c r="J151" s="1"/>
      <c r="K151" s="1"/>
      <c r="L151" s="1"/>
      <c r="M151" s="1"/>
      <c r="N151" s="1"/>
      <c r="O151" s="25"/>
      <c r="P151" s="20"/>
    </row>
    <row r="152" spans="5:16">
      <c r="E152" s="21"/>
      <c r="F152" s="1"/>
      <c r="G152" s="1"/>
      <c r="H152" s="1"/>
      <c r="I152" s="1"/>
      <c r="J152" s="1"/>
      <c r="K152" s="1"/>
      <c r="L152" s="1"/>
      <c r="M152" s="1"/>
      <c r="N152" s="1"/>
      <c r="O152" s="25"/>
      <c r="P152" s="20"/>
    </row>
    <row r="153" spans="5:16">
      <c r="E153" s="21"/>
      <c r="F153" s="1"/>
      <c r="G153" s="1"/>
      <c r="H153" s="1"/>
      <c r="I153" s="1"/>
      <c r="J153" s="1"/>
      <c r="K153" s="1"/>
      <c r="L153" s="1"/>
      <c r="M153" s="1"/>
      <c r="N153" s="1"/>
      <c r="O153" s="25"/>
      <c r="P153" s="20"/>
    </row>
    <row r="154" spans="5:16">
      <c r="E154" s="21"/>
      <c r="F154" s="1"/>
      <c r="G154" s="1"/>
      <c r="H154" s="1"/>
      <c r="I154" s="1"/>
      <c r="J154" s="1"/>
      <c r="K154" s="1"/>
      <c r="L154" s="1"/>
      <c r="M154" s="1"/>
      <c r="N154" s="1"/>
      <c r="O154" s="25"/>
      <c r="P154" s="20"/>
    </row>
    <row r="155" spans="5:16">
      <c r="E155" s="21"/>
      <c r="F155" s="1"/>
      <c r="G155" s="1"/>
      <c r="H155" s="1"/>
      <c r="I155" s="1"/>
      <c r="J155" s="1"/>
      <c r="K155" s="1"/>
      <c r="L155" s="1"/>
      <c r="M155" s="1"/>
      <c r="N155" s="1"/>
      <c r="O155" s="25"/>
      <c r="P155" s="20"/>
    </row>
    <row r="156" spans="5:16">
      <c r="E156" s="21"/>
      <c r="F156" s="1"/>
      <c r="G156" s="1"/>
      <c r="H156" s="1"/>
      <c r="I156" s="1"/>
      <c r="J156" s="1"/>
      <c r="K156" s="1"/>
      <c r="L156" s="1"/>
      <c r="M156" s="1"/>
      <c r="N156" s="1"/>
      <c r="O156" s="25"/>
      <c r="P156" s="20"/>
    </row>
    <row r="157" spans="5:16">
      <c r="E157" s="21"/>
      <c r="F157" s="1"/>
      <c r="G157" s="1"/>
      <c r="H157" s="1"/>
      <c r="I157" s="1"/>
      <c r="J157" s="1"/>
      <c r="K157" s="1"/>
      <c r="L157" s="1"/>
      <c r="M157" s="1"/>
      <c r="N157" s="1"/>
      <c r="O157" s="25"/>
      <c r="P157" s="20"/>
    </row>
    <row r="158" spans="5:16">
      <c r="E158" s="21"/>
      <c r="F158" s="1"/>
      <c r="G158" s="1"/>
      <c r="H158" s="1"/>
      <c r="I158" s="1"/>
      <c r="J158" s="1"/>
      <c r="K158" s="1"/>
      <c r="L158" s="1"/>
      <c r="M158" s="1"/>
      <c r="N158" s="1"/>
      <c r="O158" s="25"/>
      <c r="P158" s="20"/>
    </row>
    <row r="159" spans="5:16">
      <c r="E159" s="21"/>
      <c r="F159" s="1"/>
      <c r="G159" s="1"/>
      <c r="H159" s="1"/>
      <c r="I159" s="1"/>
      <c r="J159" s="1"/>
      <c r="K159" s="1"/>
      <c r="L159" s="1"/>
      <c r="M159" s="1"/>
      <c r="N159" s="1"/>
      <c r="O159" s="25"/>
      <c r="P159" s="20"/>
    </row>
    <row r="160" spans="5:16">
      <c r="E160" s="21"/>
      <c r="F160" s="1"/>
      <c r="G160" s="1"/>
      <c r="H160" s="1"/>
      <c r="I160" s="1"/>
      <c r="J160" s="1"/>
      <c r="K160" s="1"/>
      <c r="L160" s="1"/>
      <c r="M160" s="1"/>
      <c r="N160" s="1"/>
      <c r="O160" s="25"/>
      <c r="P160" s="20"/>
    </row>
    <row r="161" spans="5:16">
      <c r="E161" s="21"/>
      <c r="F161" s="1"/>
      <c r="G161" s="1"/>
      <c r="H161" s="1"/>
      <c r="I161" s="1"/>
      <c r="J161" s="1"/>
      <c r="K161" s="1"/>
      <c r="L161" s="1"/>
      <c r="M161" s="1"/>
      <c r="N161" s="1"/>
      <c r="O161" s="25"/>
      <c r="P161" s="20"/>
    </row>
    <row r="162" spans="5:16">
      <c r="E162" s="21"/>
      <c r="F162" s="1"/>
      <c r="G162" s="1"/>
      <c r="H162" s="1"/>
      <c r="I162" s="1"/>
      <c r="J162" s="1"/>
      <c r="K162" s="1"/>
      <c r="L162" s="1"/>
      <c r="M162" s="1"/>
      <c r="N162" s="1"/>
      <c r="O162" s="25"/>
      <c r="P162" s="20"/>
    </row>
    <row r="163" spans="5:16">
      <c r="E163" s="21"/>
      <c r="F163" s="1"/>
      <c r="G163" s="1"/>
      <c r="H163" s="1"/>
      <c r="I163" s="1"/>
      <c r="J163" s="1"/>
      <c r="K163" s="1"/>
      <c r="L163" s="1"/>
      <c r="M163" s="1"/>
      <c r="N163" s="1"/>
      <c r="O163" s="25"/>
      <c r="P163" s="20"/>
    </row>
    <row r="164" spans="5:16">
      <c r="E164" s="21"/>
      <c r="F164" s="1"/>
      <c r="G164" s="1"/>
      <c r="H164" s="1"/>
      <c r="I164" s="1"/>
      <c r="J164" s="1"/>
      <c r="K164" s="1"/>
      <c r="L164" s="1"/>
      <c r="M164" s="1"/>
      <c r="N164" s="1"/>
      <c r="O164" s="25"/>
      <c r="P164" s="20"/>
    </row>
    <row r="165" spans="5:16">
      <c r="E165" s="21"/>
      <c r="F165" s="1"/>
      <c r="G165" s="1"/>
      <c r="H165" s="1"/>
      <c r="I165" s="1"/>
      <c r="J165" s="1"/>
      <c r="K165" s="1"/>
      <c r="L165" s="1"/>
      <c r="M165" s="1"/>
      <c r="N165" s="1"/>
      <c r="O165" s="25"/>
      <c r="P165" s="20"/>
    </row>
    <row r="166" spans="5:16">
      <c r="E166" s="21"/>
      <c r="F166" s="1"/>
      <c r="G166" s="1"/>
      <c r="H166" s="1"/>
      <c r="I166" s="1"/>
      <c r="J166" s="1"/>
      <c r="K166" s="1"/>
      <c r="L166" s="1"/>
      <c r="M166" s="1"/>
      <c r="N166" s="1"/>
      <c r="O166" s="25"/>
      <c r="P166" s="20"/>
    </row>
    <row r="167" spans="5:16">
      <c r="E167" s="21"/>
      <c r="F167" s="1"/>
      <c r="G167" s="1"/>
      <c r="H167" s="1"/>
      <c r="I167" s="1"/>
      <c r="J167" s="1"/>
      <c r="K167" s="1"/>
      <c r="L167" s="1"/>
      <c r="M167" s="1"/>
      <c r="N167" s="1"/>
      <c r="O167" s="25"/>
      <c r="P167" s="20"/>
    </row>
    <row r="168" spans="5:16">
      <c r="E168" s="21"/>
      <c r="F168" s="1"/>
      <c r="G168" s="1"/>
      <c r="H168" s="1"/>
      <c r="I168" s="1"/>
      <c r="J168" s="1"/>
      <c r="K168" s="1"/>
      <c r="L168" s="1"/>
      <c r="M168" s="1"/>
      <c r="N168" s="1"/>
      <c r="O168" s="25"/>
      <c r="P168" s="20"/>
    </row>
    <row r="169" spans="5:16">
      <c r="E169" s="21"/>
      <c r="F169" s="1"/>
      <c r="G169" s="1"/>
      <c r="H169" s="1"/>
      <c r="I169" s="1"/>
      <c r="J169" s="1"/>
      <c r="K169" s="1"/>
      <c r="L169" s="1"/>
      <c r="M169" s="1"/>
      <c r="N169" s="1"/>
      <c r="O169" s="25"/>
      <c r="P169" s="20"/>
    </row>
    <row r="170" spans="5:16">
      <c r="E170" s="21"/>
      <c r="F170" s="1"/>
      <c r="G170" s="1"/>
      <c r="H170" s="1"/>
      <c r="I170" s="1"/>
      <c r="J170" s="1"/>
      <c r="K170" s="1"/>
      <c r="L170" s="1"/>
      <c r="M170" s="1"/>
      <c r="N170" s="1"/>
      <c r="O170" s="25"/>
      <c r="P170" s="20"/>
    </row>
    <row r="171" spans="5:16">
      <c r="E171" s="21"/>
      <c r="F171" s="1"/>
      <c r="G171" s="1"/>
      <c r="H171" s="1"/>
      <c r="I171" s="1"/>
      <c r="J171" s="1"/>
      <c r="K171" s="1"/>
      <c r="L171" s="1"/>
      <c r="M171" s="1"/>
      <c r="N171" s="1"/>
      <c r="O171" s="25"/>
      <c r="P171" s="20"/>
    </row>
    <row r="172" spans="5:16">
      <c r="E172" s="21"/>
      <c r="F172" s="1"/>
      <c r="G172" s="1"/>
      <c r="H172" s="1"/>
      <c r="I172" s="1"/>
      <c r="J172" s="1"/>
      <c r="K172" s="1"/>
      <c r="L172" s="1"/>
      <c r="M172" s="1"/>
      <c r="N172" s="1"/>
      <c r="O172" s="25"/>
      <c r="P172" s="20"/>
    </row>
    <row r="173" spans="5:16">
      <c r="E173" s="21"/>
      <c r="F173" s="1"/>
      <c r="G173" s="1"/>
      <c r="H173" s="1"/>
      <c r="I173" s="1"/>
      <c r="J173" s="1"/>
      <c r="K173" s="1"/>
      <c r="L173" s="1"/>
      <c r="M173" s="1"/>
      <c r="N173" s="1"/>
      <c r="O173" s="25"/>
      <c r="P173" s="20"/>
    </row>
    <row r="174" spans="5:16">
      <c r="E174" s="21"/>
      <c r="F174" s="1"/>
      <c r="G174" s="1"/>
      <c r="H174" s="1"/>
      <c r="I174" s="1"/>
      <c r="J174" s="1"/>
      <c r="K174" s="1"/>
      <c r="L174" s="1"/>
      <c r="M174" s="1"/>
      <c r="N174" s="1"/>
      <c r="O174" s="25"/>
      <c r="P174" s="20"/>
    </row>
    <row r="175" spans="5:16">
      <c r="E175" s="21"/>
      <c r="F175" s="1"/>
      <c r="G175" s="1"/>
      <c r="H175" s="1"/>
      <c r="I175" s="1"/>
      <c r="J175" s="1"/>
      <c r="K175" s="1"/>
      <c r="L175" s="1"/>
      <c r="M175" s="1"/>
      <c r="N175" s="1"/>
      <c r="O175" s="25"/>
      <c r="P175" s="20"/>
    </row>
    <row r="176" spans="5:16">
      <c r="E176" s="21"/>
      <c r="F176" s="1"/>
      <c r="G176" s="1"/>
      <c r="H176" s="1"/>
      <c r="I176" s="1"/>
      <c r="J176" s="1"/>
      <c r="K176" s="1"/>
      <c r="L176" s="1"/>
      <c r="M176" s="1"/>
      <c r="N176" s="1"/>
      <c r="O176" s="25"/>
      <c r="P176" s="20"/>
    </row>
    <row r="177" spans="5:16">
      <c r="E177" s="21"/>
      <c r="F177" s="1"/>
      <c r="G177" s="1"/>
      <c r="H177" s="1"/>
      <c r="I177" s="1"/>
      <c r="J177" s="1"/>
      <c r="K177" s="1"/>
      <c r="L177" s="1"/>
      <c r="M177" s="1"/>
      <c r="N177" s="1"/>
      <c r="O177" s="25"/>
      <c r="P177" s="20"/>
    </row>
    <row r="178" spans="5:16">
      <c r="E178" s="21"/>
      <c r="F178" s="1"/>
      <c r="G178" s="1"/>
      <c r="H178" s="1"/>
      <c r="I178" s="1"/>
      <c r="J178" s="1"/>
      <c r="K178" s="1"/>
      <c r="L178" s="1"/>
      <c r="M178" s="1"/>
      <c r="N178" s="1"/>
      <c r="O178" s="25"/>
      <c r="P178" s="20"/>
    </row>
    <row r="179" spans="5:16">
      <c r="E179" s="21"/>
      <c r="F179" s="1"/>
      <c r="G179" s="1"/>
      <c r="H179" s="1"/>
      <c r="I179" s="1"/>
      <c r="J179" s="1"/>
      <c r="K179" s="1"/>
      <c r="L179" s="1"/>
      <c r="M179" s="1"/>
      <c r="N179" s="1"/>
      <c r="O179" s="25"/>
      <c r="P179" s="20"/>
    </row>
    <row r="180" spans="5:16">
      <c r="E180" s="21"/>
      <c r="F180" s="1"/>
      <c r="G180" s="1"/>
      <c r="H180" s="1"/>
      <c r="I180" s="1"/>
      <c r="J180" s="1"/>
      <c r="K180" s="1"/>
      <c r="L180" s="1"/>
      <c r="M180" s="1"/>
      <c r="N180" s="1"/>
      <c r="O180" s="25"/>
      <c r="P180" s="20"/>
    </row>
    <row r="181" spans="5:16">
      <c r="E181" s="21"/>
      <c r="F181" s="1"/>
      <c r="G181" s="1"/>
      <c r="H181" s="1"/>
      <c r="I181" s="1"/>
      <c r="J181" s="1"/>
      <c r="K181" s="1"/>
      <c r="L181" s="1"/>
      <c r="M181" s="1"/>
      <c r="N181" s="1"/>
      <c r="O181" s="25"/>
      <c r="P181" s="20"/>
    </row>
    <row r="182" spans="5:16">
      <c r="E182" s="21"/>
      <c r="F182" s="1"/>
      <c r="G182" s="1"/>
      <c r="H182" s="1"/>
      <c r="I182" s="1"/>
      <c r="J182" s="1"/>
      <c r="K182" s="1"/>
      <c r="L182" s="1"/>
      <c r="M182" s="1"/>
      <c r="N182" s="1"/>
      <c r="O182" s="25"/>
      <c r="P182" s="20"/>
    </row>
    <row r="183" spans="5:16">
      <c r="E183" s="21"/>
      <c r="F183" s="1"/>
      <c r="G183" s="1"/>
      <c r="H183" s="1"/>
      <c r="I183" s="1"/>
      <c r="J183" s="1"/>
      <c r="K183" s="1"/>
      <c r="L183" s="1"/>
      <c r="M183" s="1"/>
      <c r="N183" s="1"/>
      <c r="O183" s="25"/>
      <c r="P183" s="20"/>
    </row>
    <row r="184" spans="5:16">
      <c r="E184" s="21"/>
      <c r="F184" s="1"/>
      <c r="G184" s="1"/>
      <c r="H184" s="1"/>
      <c r="I184" s="1"/>
      <c r="J184" s="1"/>
      <c r="K184" s="1"/>
      <c r="L184" s="1"/>
      <c r="M184" s="1"/>
      <c r="N184" s="1"/>
      <c r="O184" s="25"/>
      <c r="P184" s="20"/>
    </row>
    <row r="185" spans="5:16">
      <c r="E185" s="21"/>
      <c r="F185" s="1"/>
      <c r="G185" s="1"/>
      <c r="H185" s="1"/>
      <c r="I185" s="1"/>
      <c r="J185" s="1"/>
      <c r="K185" s="1"/>
      <c r="L185" s="1"/>
      <c r="M185" s="1"/>
      <c r="N185" s="1"/>
      <c r="O185" s="25"/>
      <c r="P185" s="20"/>
    </row>
    <row r="186" spans="5:16">
      <c r="E186" s="21"/>
      <c r="F186" s="1"/>
      <c r="G186" s="1"/>
      <c r="H186" s="1"/>
      <c r="I186" s="1"/>
      <c r="J186" s="1"/>
      <c r="K186" s="1"/>
      <c r="L186" s="1"/>
      <c r="M186" s="1"/>
      <c r="N186" s="1"/>
      <c r="O186" s="25"/>
      <c r="P186" s="20"/>
    </row>
    <row r="187" spans="5:16">
      <c r="E187" s="21"/>
      <c r="F187" s="1"/>
      <c r="G187" s="1"/>
      <c r="H187" s="1"/>
      <c r="I187" s="1"/>
      <c r="J187" s="1"/>
      <c r="K187" s="1"/>
      <c r="L187" s="1"/>
      <c r="M187" s="1"/>
      <c r="N187" s="1"/>
      <c r="O187" s="25"/>
      <c r="P187" s="20"/>
    </row>
    <row r="188" spans="5:16">
      <c r="E188" s="21"/>
      <c r="F188" s="1"/>
      <c r="G188" s="1"/>
      <c r="H188" s="1"/>
      <c r="I188" s="1"/>
      <c r="J188" s="1"/>
      <c r="K188" s="1"/>
      <c r="L188" s="1"/>
      <c r="M188" s="1"/>
      <c r="N188" s="1"/>
      <c r="O188" s="25"/>
      <c r="P188" s="20"/>
    </row>
    <row r="189" spans="5:16">
      <c r="E189" s="21"/>
      <c r="F189" s="1"/>
      <c r="G189" s="1"/>
      <c r="H189" s="1"/>
      <c r="I189" s="1"/>
      <c r="J189" s="1"/>
      <c r="K189" s="1"/>
      <c r="L189" s="1"/>
      <c r="M189" s="1"/>
      <c r="N189" s="1"/>
      <c r="O189" s="25"/>
      <c r="P189" s="20"/>
    </row>
    <row r="190" spans="5:16">
      <c r="E190" s="21"/>
      <c r="F190" s="1"/>
      <c r="G190" s="1"/>
      <c r="H190" s="1"/>
      <c r="I190" s="1"/>
      <c r="J190" s="1"/>
      <c r="K190" s="1"/>
      <c r="L190" s="1"/>
      <c r="M190" s="1"/>
      <c r="N190" s="1"/>
      <c r="O190" s="25"/>
      <c r="P190" s="20"/>
    </row>
    <row r="191" spans="5:16">
      <c r="E191" s="21"/>
      <c r="F191" s="1"/>
      <c r="G191" s="1"/>
      <c r="H191" s="1"/>
      <c r="I191" s="1"/>
      <c r="J191" s="1"/>
      <c r="K191" s="1"/>
      <c r="L191" s="1"/>
      <c r="M191" s="1"/>
      <c r="N191" s="1"/>
      <c r="O191" s="25"/>
      <c r="P191" s="20"/>
    </row>
    <row r="192" spans="5:16">
      <c r="E192" s="21"/>
      <c r="F192" s="1"/>
      <c r="G192" s="1"/>
      <c r="H192" s="1"/>
      <c r="I192" s="1"/>
      <c r="J192" s="1"/>
      <c r="K192" s="1"/>
      <c r="L192" s="1"/>
      <c r="M192" s="1"/>
      <c r="N192" s="1"/>
      <c r="O192" s="25"/>
      <c r="P192" s="20"/>
    </row>
    <row r="193" spans="5:16">
      <c r="E193" s="21"/>
      <c r="F193" s="1"/>
      <c r="G193" s="1"/>
      <c r="H193" s="1"/>
      <c r="I193" s="1"/>
      <c r="J193" s="1"/>
      <c r="K193" s="1"/>
      <c r="L193" s="1"/>
      <c r="M193" s="1"/>
      <c r="N193" s="1"/>
      <c r="O193" s="25"/>
      <c r="P193" s="20"/>
    </row>
    <row r="194" spans="5:16">
      <c r="E194" s="21"/>
      <c r="F194" s="1"/>
      <c r="G194" s="1"/>
      <c r="H194" s="1"/>
      <c r="I194" s="1"/>
      <c r="J194" s="1"/>
      <c r="K194" s="1"/>
      <c r="L194" s="1"/>
      <c r="M194" s="1"/>
      <c r="N194" s="1"/>
      <c r="O194" s="25"/>
      <c r="P194" s="20"/>
    </row>
    <row r="195" spans="5:16">
      <c r="E195" s="21"/>
      <c r="F195" s="1"/>
      <c r="G195" s="1"/>
      <c r="H195" s="1"/>
      <c r="I195" s="1"/>
      <c r="J195" s="1"/>
      <c r="K195" s="1"/>
      <c r="L195" s="1"/>
      <c r="M195" s="1"/>
      <c r="N195" s="1"/>
      <c r="O195" s="25"/>
      <c r="P195" s="20"/>
    </row>
    <row r="196" spans="5:16">
      <c r="E196" s="21"/>
      <c r="F196" s="1"/>
      <c r="G196" s="1"/>
      <c r="H196" s="1"/>
      <c r="I196" s="1"/>
      <c r="J196" s="1"/>
      <c r="K196" s="1"/>
      <c r="L196" s="1"/>
      <c r="M196" s="1"/>
      <c r="N196" s="1"/>
      <c r="O196" s="25"/>
      <c r="P196" s="20"/>
    </row>
    <row r="197" spans="5:16">
      <c r="E197" s="21"/>
      <c r="F197" s="1"/>
      <c r="G197" s="1"/>
      <c r="H197" s="1"/>
      <c r="I197" s="1"/>
      <c r="J197" s="1"/>
      <c r="K197" s="1"/>
      <c r="L197" s="1"/>
      <c r="M197" s="1"/>
      <c r="N197" s="1"/>
      <c r="O197" s="25"/>
      <c r="P197" s="20"/>
    </row>
    <row r="198" spans="5:16">
      <c r="E198" s="21"/>
      <c r="F198" s="1"/>
      <c r="G198" s="1"/>
      <c r="H198" s="1"/>
      <c r="I198" s="1"/>
      <c r="J198" s="1"/>
      <c r="K198" s="1"/>
      <c r="L198" s="1"/>
      <c r="M198" s="1"/>
      <c r="N198" s="1"/>
      <c r="O198" s="25"/>
      <c r="P198" s="20"/>
    </row>
    <row r="199" spans="5:16">
      <c r="E199" s="21"/>
      <c r="F199" s="1"/>
      <c r="G199" s="1"/>
      <c r="H199" s="1"/>
      <c r="I199" s="1"/>
      <c r="J199" s="1"/>
      <c r="K199" s="1"/>
      <c r="L199" s="1"/>
      <c r="M199" s="1"/>
      <c r="N199" s="1"/>
      <c r="O199" s="25"/>
      <c r="P199" s="20"/>
    </row>
    <row r="200" spans="5:16">
      <c r="E200" s="21"/>
      <c r="F200" s="1"/>
      <c r="G200" s="1"/>
      <c r="H200" s="1"/>
      <c r="I200" s="1"/>
      <c r="J200" s="1"/>
      <c r="K200" s="1"/>
      <c r="L200" s="1"/>
      <c r="M200" s="1"/>
      <c r="N200" s="1"/>
      <c r="O200" s="25"/>
      <c r="P200" s="20"/>
    </row>
    <row r="201" spans="5:16">
      <c r="E201" s="21"/>
      <c r="F201" s="1"/>
      <c r="G201" s="1"/>
      <c r="H201" s="1"/>
      <c r="I201" s="1"/>
      <c r="J201" s="1"/>
      <c r="K201" s="1"/>
      <c r="L201" s="1"/>
      <c r="M201" s="1"/>
      <c r="N201" s="1"/>
      <c r="O201" s="25"/>
      <c r="P201" s="20"/>
    </row>
    <row r="202" spans="5:16">
      <c r="E202" s="21"/>
      <c r="F202" s="1"/>
      <c r="G202" s="1"/>
      <c r="H202" s="1"/>
      <c r="I202" s="1"/>
      <c r="J202" s="1"/>
      <c r="K202" s="1"/>
      <c r="L202" s="1"/>
      <c r="M202" s="1"/>
      <c r="N202" s="1"/>
      <c r="O202" s="25"/>
      <c r="P202" s="20"/>
    </row>
    <row r="203" spans="5:16">
      <c r="E203" s="21"/>
      <c r="F203" s="1"/>
      <c r="G203" s="1"/>
      <c r="H203" s="1"/>
      <c r="I203" s="1"/>
      <c r="J203" s="1"/>
      <c r="K203" s="1"/>
      <c r="L203" s="1"/>
      <c r="M203" s="1"/>
      <c r="N203" s="1"/>
      <c r="O203" s="25"/>
      <c r="P203" s="20"/>
    </row>
    <row r="204" spans="5:16">
      <c r="E204" s="21"/>
      <c r="F204" s="1"/>
      <c r="G204" s="1"/>
      <c r="H204" s="1"/>
      <c r="I204" s="1"/>
      <c r="J204" s="1"/>
      <c r="K204" s="1"/>
      <c r="L204" s="1"/>
      <c r="M204" s="1"/>
      <c r="N204" s="1"/>
      <c r="O204" s="25"/>
      <c r="P204" s="20"/>
    </row>
    <row r="205" spans="5:16">
      <c r="E205" s="21"/>
      <c r="F205" s="1"/>
      <c r="G205" s="1"/>
      <c r="H205" s="1"/>
      <c r="I205" s="1"/>
      <c r="J205" s="1"/>
      <c r="K205" s="1"/>
      <c r="L205" s="1"/>
      <c r="M205" s="1"/>
      <c r="N205" s="1"/>
      <c r="O205" s="25"/>
      <c r="P205" s="20"/>
    </row>
    <row r="206" spans="5:16">
      <c r="E206" s="21"/>
      <c r="F206" s="1"/>
      <c r="G206" s="1"/>
      <c r="H206" s="1"/>
      <c r="I206" s="1"/>
      <c r="J206" s="1"/>
      <c r="K206" s="1"/>
      <c r="L206" s="1"/>
      <c r="M206" s="1"/>
      <c r="N206" s="1"/>
      <c r="O206" s="25"/>
      <c r="P206" s="20"/>
    </row>
    <row r="207" spans="5:16">
      <c r="E207" s="21"/>
      <c r="F207" s="1"/>
      <c r="G207" s="1"/>
      <c r="H207" s="1"/>
      <c r="I207" s="1"/>
      <c r="J207" s="1"/>
      <c r="K207" s="1"/>
      <c r="L207" s="1"/>
      <c r="M207" s="1"/>
      <c r="N207" s="1"/>
      <c r="O207" s="25"/>
      <c r="P207" s="20"/>
    </row>
    <row r="208" spans="5:16">
      <c r="E208" s="21"/>
      <c r="F208" s="1"/>
      <c r="G208" s="1"/>
      <c r="H208" s="1"/>
      <c r="I208" s="1"/>
      <c r="J208" s="1"/>
      <c r="K208" s="1"/>
      <c r="L208" s="1"/>
      <c r="M208" s="1"/>
      <c r="N208" s="1"/>
      <c r="O208" s="25"/>
      <c r="P208" s="20"/>
    </row>
    <row r="209" spans="5:16">
      <c r="E209" s="21"/>
      <c r="F209" s="1"/>
      <c r="G209" s="1"/>
      <c r="H209" s="1"/>
      <c r="I209" s="1"/>
      <c r="J209" s="1"/>
      <c r="K209" s="1"/>
      <c r="L209" s="1"/>
      <c r="M209" s="1"/>
      <c r="N209" s="1"/>
      <c r="O209" s="25"/>
      <c r="P209" s="20"/>
    </row>
    <row r="210" spans="5:16">
      <c r="E210" s="21"/>
      <c r="F210" s="1"/>
      <c r="G210" s="1"/>
      <c r="H210" s="1"/>
      <c r="I210" s="1"/>
      <c r="J210" s="1"/>
      <c r="K210" s="1"/>
      <c r="L210" s="1"/>
      <c r="M210" s="1"/>
      <c r="N210" s="1"/>
      <c r="O210" s="25"/>
      <c r="P210" s="20"/>
    </row>
    <row r="211" spans="5:16">
      <c r="E211" s="21"/>
      <c r="F211" s="1"/>
      <c r="G211" s="1"/>
      <c r="H211" s="1"/>
      <c r="I211" s="1"/>
      <c r="J211" s="1"/>
      <c r="K211" s="1"/>
      <c r="L211" s="1"/>
      <c r="M211" s="1"/>
      <c r="N211" s="1"/>
      <c r="O211" s="25"/>
      <c r="P211" s="20"/>
    </row>
    <row r="212" spans="5:16">
      <c r="E212" s="21"/>
      <c r="F212" s="1"/>
      <c r="G212" s="1"/>
      <c r="H212" s="1"/>
      <c r="I212" s="1"/>
      <c r="J212" s="1"/>
      <c r="K212" s="1"/>
      <c r="L212" s="1"/>
      <c r="M212" s="1"/>
      <c r="N212" s="1"/>
      <c r="O212" s="25"/>
      <c r="P212" s="20"/>
    </row>
    <row r="213" spans="5:16">
      <c r="E213" s="21"/>
      <c r="F213" s="1"/>
      <c r="G213" s="1"/>
      <c r="H213" s="1"/>
      <c r="I213" s="1"/>
      <c r="J213" s="1"/>
      <c r="K213" s="1"/>
      <c r="L213" s="1"/>
      <c r="M213" s="1"/>
      <c r="N213" s="1"/>
      <c r="O213" s="17"/>
    </row>
    <row r="214" spans="5:16">
      <c r="E214"/>
      <c r="F214"/>
      <c r="G214"/>
      <c r="H214"/>
      <c r="I214"/>
      <c r="J214"/>
      <c r="K214"/>
      <c r="L214"/>
      <c r="M214"/>
      <c r="N214"/>
      <c r="O214"/>
    </row>
    <row r="215" spans="5:16">
      <c r="E215"/>
      <c r="F215"/>
      <c r="G215"/>
      <c r="H215"/>
      <c r="I215"/>
      <c r="J215"/>
      <c r="K215"/>
      <c r="L215"/>
      <c r="M215"/>
      <c r="N215"/>
      <c r="O215"/>
    </row>
    <row r="216" spans="5:16">
      <c r="E216"/>
      <c r="F216"/>
      <c r="G216"/>
      <c r="H216"/>
      <c r="I216"/>
      <c r="J216"/>
      <c r="K216"/>
      <c r="L216"/>
      <c r="M216"/>
      <c r="N216"/>
      <c r="O216"/>
    </row>
    <row r="217" spans="5:16">
      <c r="E217"/>
      <c r="F217"/>
      <c r="G217"/>
      <c r="H217"/>
      <c r="I217"/>
      <c r="J217"/>
      <c r="K217"/>
      <c r="L217"/>
      <c r="M217"/>
      <c r="N217"/>
      <c r="O217"/>
    </row>
    <row r="218" spans="5:16">
      <c r="E218"/>
      <c r="F218"/>
      <c r="G218"/>
      <c r="H218"/>
      <c r="I218"/>
      <c r="J218"/>
      <c r="K218"/>
      <c r="L218"/>
      <c r="M218"/>
      <c r="N218"/>
      <c r="O218"/>
    </row>
    <row r="219" spans="5:16">
      <c r="E219"/>
      <c r="F219"/>
      <c r="G219"/>
      <c r="H219"/>
      <c r="I219"/>
      <c r="J219"/>
      <c r="K219"/>
      <c r="L219"/>
      <c r="M219"/>
      <c r="N219"/>
      <c r="O219"/>
    </row>
    <row r="220" spans="5:16">
      <c r="E220"/>
      <c r="F220"/>
      <c r="G220"/>
      <c r="H220"/>
      <c r="I220"/>
      <c r="J220"/>
      <c r="K220"/>
      <c r="L220"/>
      <c r="M220"/>
      <c r="N220"/>
      <c r="O220"/>
    </row>
    <row r="221" spans="5:16">
      <c r="E221"/>
      <c r="F221"/>
      <c r="G221"/>
      <c r="H221"/>
      <c r="I221"/>
      <c r="J221"/>
      <c r="K221"/>
      <c r="L221"/>
      <c r="M221"/>
      <c r="N221"/>
      <c r="O221"/>
    </row>
    <row r="222" spans="5:16">
      <c r="E222"/>
      <c r="F222"/>
      <c r="G222"/>
      <c r="H222"/>
      <c r="I222"/>
      <c r="J222"/>
      <c r="K222"/>
      <c r="L222"/>
      <c r="M222"/>
      <c r="N222"/>
      <c r="O222"/>
    </row>
    <row r="223" spans="5:16">
      <c r="E223"/>
      <c r="F223"/>
      <c r="G223"/>
      <c r="H223"/>
      <c r="I223"/>
      <c r="J223"/>
      <c r="K223"/>
      <c r="L223"/>
      <c r="M223"/>
      <c r="N223"/>
      <c r="O223"/>
    </row>
    <row r="224" spans="5:16">
      <c r="E224"/>
      <c r="F224"/>
      <c r="G224"/>
      <c r="H224"/>
      <c r="I224"/>
      <c r="J224"/>
      <c r="K224"/>
      <c r="L224"/>
      <c r="M224"/>
      <c r="N224"/>
      <c r="O224"/>
    </row>
    <row r="225" spans="5:15">
      <c r="E225"/>
      <c r="F225"/>
      <c r="G225"/>
      <c r="H225"/>
      <c r="I225"/>
      <c r="J225"/>
      <c r="K225"/>
      <c r="L225"/>
      <c r="M225"/>
      <c r="N225"/>
      <c r="O225"/>
    </row>
    <row r="226" spans="5:15">
      <c r="E226"/>
      <c r="F226"/>
      <c r="G226"/>
      <c r="H226"/>
      <c r="I226"/>
      <c r="J226"/>
      <c r="K226"/>
      <c r="L226"/>
      <c r="M226"/>
      <c r="N226"/>
      <c r="O226"/>
    </row>
  </sheetData>
  <sortState xmlns:xlrd2="http://schemas.microsoft.com/office/spreadsheetml/2017/richdata2" ref="O8:O78">
    <sortCondition ref="O7:O78"/>
  </sortState>
  <dataConsolidate function="count"/>
  <mergeCells count="1">
    <mergeCell ref="E6:P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Álvaro Hernández Casamayor</dc:creator>
  <cp:keywords/>
  <dc:description/>
  <cp:lastModifiedBy/>
  <cp:revision/>
  <dcterms:created xsi:type="dcterms:W3CDTF">2025-02-24T21:32:25Z</dcterms:created>
  <dcterms:modified xsi:type="dcterms:W3CDTF">2026-03-15T17:40:40Z</dcterms:modified>
  <cp:category/>
  <cp:contentStatus/>
</cp:coreProperties>
</file>